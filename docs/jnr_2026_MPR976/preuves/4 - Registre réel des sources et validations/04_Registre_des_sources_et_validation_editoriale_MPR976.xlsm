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ynthese" sheetId="1" r:id="rId4"/>
    <sheet state="visible" name="Mode_emploi" sheetId="2" r:id="rId5"/>
    <sheet state="visible" name="Registre_sources" sheetId="3" r:id="rId6"/>
    <sheet state="visible" name="Referentiels" sheetId="4" r:id="rId7"/>
  </sheets>
  <definedNames/>
  <calcPr/>
  <extLst>
    <ext uri="GoogleSheetsCustomDataVersion2">
      <go:sheetsCustomData xmlns:go="http://customooxmlschemas.google.com/" r:id="rId8" roundtripDataChecksum="FedPCF7KIAbaxDRfSzlujFxThlSv9uMYP1aNvELFv5U="/>
    </ext>
  </extLst>
</workbook>
</file>

<file path=xl/sharedStrings.xml><?xml version="1.0" encoding="utf-8"?>
<sst xmlns="http://schemas.openxmlformats.org/spreadsheetml/2006/main" count="730" uniqueCount="375">
  <si>
    <t>MODE D'EMPLOI - REGISTRE DES SOURCES ET VALIDATIONS</t>
  </si>
  <si>
    <t>Étape</t>
  </si>
  <si>
    <t>Statuts de validation</t>
  </si>
  <si>
    <t>Action attendue</t>
  </si>
  <si>
    <t>Responsable</t>
  </si>
  <si>
    <t>Preuve à conserver</t>
  </si>
  <si>
    <t>Statut à utiliser</t>
  </si>
  <si>
    <t>Point de vigilance</t>
  </si>
  <si>
    <t>1</t>
  </si>
  <si>
    <t>Niveaux de source</t>
  </si>
  <si>
    <t>Types d'utilisation</t>
  </si>
  <si>
    <t>Domaines</t>
  </si>
  <si>
    <t>À rapprocher du prototype</t>
  </si>
  <si>
    <t>Comparer chaque ligne au libellé exact visible dans le prototype.</t>
  </si>
  <si>
    <t>GT SAS</t>
  </si>
  <si>
    <t>Capture ou référence de l'écran</t>
  </si>
  <si>
    <t>Ne pas valider un contenu qui n'existe pas encore dans l'application.</t>
  </si>
  <si>
    <t>2</t>
  </si>
  <si>
    <t>Vérifier que la source officielle soutient précisément la formulation et les éventuels chiffres.</t>
  </si>
  <si>
    <t>URL, PDF ou page officielle datée</t>
  </si>
  <si>
    <t>Formulation à valider</t>
  </si>
  <si>
    <t>Une source générale ne suffit pas pour un chiffre ou une consigne sensible.</t>
  </si>
  <si>
    <t>1 - Autorité publique</t>
  </si>
  <si>
    <t>Reformulation sourcée</t>
  </si>
  <si>
    <t>3</t>
  </si>
  <si>
    <t>Alerte et information</t>
  </si>
  <si>
    <t>Extraire les consignes des documents PDF encore non détaillés.</t>
  </si>
  <si>
    <t>Copie du document source</t>
  </si>
  <si>
    <t>Document source à détailler</t>
  </si>
  <si>
    <t>2 - Acteur reconnu</t>
  </si>
  <si>
    <t>Priorité aux fiches Mayotte et au document ORSEC Cyclone.</t>
  </si>
  <si>
    <t>Lien vers document source</t>
  </si>
  <si>
    <t>4</t>
  </si>
  <si>
    <t>Contexte territorial</t>
  </si>
  <si>
    <t>Faire relire les adaptations locales ou les contenus sensibles.</t>
  </si>
  <si>
    <t>Partenaire compétent</t>
  </si>
  <si>
    <t>Courriel, attestation ou tableau signé</t>
  </si>
  <si>
    <t>À faire relire localement</t>
  </si>
  <si>
    <t>3 - Validation territoriale</t>
  </si>
  <si>
    <t>Ne pas présenter le partenaire comme validateur sans accord écrit.</t>
  </si>
  <si>
    <t>Contexte sourcé</t>
  </si>
  <si>
    <t>5</t>
  </si>
  <si>
    <t>Mesure de l'impact</t>
  </si>
  <si>
    <t>Renseigner le relecteur, la date et la preuve, puis verrouiller le libellé publié.</t>
  </si>
  <si>
    <t>GT SAS / partenaire</t>
  </si>
  <si>
    <t>Lettre, mail ou validation tracée</t>
  </si>
  <si>
    <t>Validé sur source officielle</t>
  </si>
  <si>
    <t>Donnée chiffrée sourcée</t>
  </si>
  <si>
    <t>Toute modification ultérieure doit déclencher une nouvelle vérification.</t>
  </si>
  <si>
    <t>Préparation générale</t>
  </si>
  <si>
    <t>6</t>
  </si>
  <si>
    <t>Archiver les anciennes formulations et planifier une revue périodique.</t>
  </si>
  <si>
    <t>Lien externe</t>
  </si>
  <si>
    <t>Historique de version</t>
  </si>
  <si>
    <t>Validé pour le dossier</t>
  </si>
  <si>
    <t>Publics spécifiques</t>
  </si>
  <si>
    <t>Le statut dossier ne vaut pas certification réglementaire.</t>
  </si>
  <si>
    <t>Version initiale construite le 05/08/2026 à partir des annexes JNR 2026 de Mon Plan Résilience 976 et de sources officielles accessibles à cette date : Préfecture de Mayotte, Sécurité civile, Ministère de l'Intérieur, Géorisques, Météo-France et Insee. Les liens sont à recontrôler.</t>
  </si>
  <si>
    <t>Citation courte</t>
  </si>
  <si>
    <t>Risques naturels</t>
  </si>
  <si>
    <t>ID</t>
  </si>
  <si>
    <t>Domaine</t>
  </si>
  <si>
    <t>Risque / thème</t>
  </si>
  <si>
    <t>Module plateforme</t>
  </si>
  <si>
    <t>Objet de validation / recommandation</t>
  </si>
  <si>
    <t>Organisme source</t>
  </si>
  <si>
    <t>Intitulé de la source</t>
  </si>
  <si>
    <t>URL officielle</t>
  </si>
  <si>
    <t>Date source / MAJ</t>
  </si>
  <si>
    <t>Source vérifiée le</t>
  </si>
  <si>
    <t>Niveau de source</t>
  </si>
  <si>
    <t>Type d'utilisation</t>
  </si>
  <si>
    <t>Statut de validation</t>
  </si>
  <si>
    <t>Relecteur / structure</t>
  </si>
  <si>
    <t>Date de validation</t>
  </si>
  <si>
    <t>Prochaine action</t>
  </si>
  <si>
    <t>Droits d'usage / vigilance</t>
  </si>
  <si>
    <t>Preuve / annexe associée</t>
  </si>
  <si>
    <t>Commentaires</t>
  </si>
  <si>
    <t>GEN-001</t>
  </si>
  <si>
    <t>Multirisques</t>
  </si>
  <si>
    <t>Accueil / avertissement</t>
  </si>
  <si>
    <t>Préciser que la plateforme prépare en amont et ne remplace jamais les alertes, consignes officielles ni les secours.</t>
  </si>
  <si>
    <t>Préfecture de Mayotte</t>
  </si>
  <si>
    <t>MON PLAN RÉSILIENCE 976 - SYNTHÈSE DU REGISTRE ÉDITORIAL</t>
  </si>
  <si>
    <t>Prévention des risques</t>
  </si>
  <si>
    <t>https://www.mayotte.gouv.fr/Actions-de-l-Etat/Prevention-des-risques-et-securite/Prevention-des-risques2</t>
  </si>
  <si>
    <t>Indicateur</t>
  </si>
  <si>
    <t>Valeur</t>
  </si>
  <si>
    <t>Statut</t>
  </si>
  <si>
    <t>Nombre</t>
  </si>
  <si>
    <t>Lignes du registre</t>
  </si>
  <si>
    <t>Vérifier la présence permanente de l'avertissement et harmoniser son libellé.</t>
  </si>
  <si>
    <t>Reformuler ; conserver un lien vers les canaux officiels.</t>
  </si>
  <si>
    <t>Annexe 03 - message de sécurité</t>
  </si>
  <si>
    <t>Principe transversal à tous les écrans sensibles.</t>
  </si>
  <si>
    <t>GEN-002</t>
  </si>
  <si>
    <t>FR-Alert</t>
  </si>
  <si>
    <t>Fiches / ressources</t>
  </si>
  <si>
    <t>Expliquer que FR-Alert permet de diffuser des notifications d'alerte aux téléphones présents dans une zone de danger.</t>
  </si>
  <si>
    <t>Ministère de l'Intérieur</t>
  </si>
  <si>
    <t>FR-Alert : être informé en temps réel pour mieux se protéger</t>
  </si>
  <si>
    <t>https://www.interieur.gouv.fr/actualites/actualites-du-ministere/fr-alert-etre-informe-en-temps-reel-pour-mieux-se-proteger</t>
  </si>
  <si>
    <t>Sources de niveau 1</t>
  </si>
  <si>
    <t>Contrôler le texte de la fiche et éviter toute confusion avec une fonction d'alerte propre à la plateforme.</t>
  </si>
  <si>
    <t>Lien externe recommandé ; ne pas présenter la plateforme comme émettrice d'alertes.</t>
  </si>
  <si>
    <t>Annexe 02 - capture 7</t>
  </si>
  <si>
    <t>Source déjà mentionnée dans le démonstrateur.</t>
  </si>
  <si>
    <t>GEN-003</t>
  </si>
  <si>
    <t>Validées pour le dossier</t>
  </si>
  <si>
    <t>Kit d'urgence 72 h</t>
  </si>
  <si>
    <t>Kit d'urgence</t>
  </si>
  <si>
    <t>Présenter le kit comme un moyen d'autonomie pendant les trois premiers jours d'une crise.</t>
  </si>
  <si>
    <t>Sécurité civile</t>
  </si>
  <si>
    <t>https://www.securite-civile.interieur.gouv.fr/reagir/comment-se-preparer-face-aux-risques/kit-durgence</t>
  </si>
  <si>
    <t>Formulations à valider</t>
  </si>
  <si>
    <t>Documents sources à détailler</t>
  </si>
  <si>
    <t>Comparer la durée et la formulation affichées dans le générateur.</t>
  </si>
  <si>
    <t>Reformuler ; ne pas reprendre l'infographie sans vérifier ses droits.</t>
  </si>
  <si>
    <t>Annexe 02 - kit d'urgence</t>
  </si>
  <si>
    <t>La page officielle indique une autonomie de 3 jours / 72 h.</t>
  </si>
  <si>
    <t>GEN-004</t>
  </si>
  <si>
    <t>Eau potable</t>
  </si>
  <si>
    <t>Prévoir 6 litres d'eau potable par personne dans le kit d'urgence.</t>
  </si>
  <si>
    <t>Vérifier le calcul automatique selon le nombre de personnes et l'affichage de l'unité.</t>
  </si>
  <si>
    <t>Reformuler ; citer la source et sa date de vérification.</t>
  </si>
  <si>
    <t>Annexe 02 - capture 6</t>
  </si>
  <si>
    <t>Point quantitatif prioritaire à tester.</t>
  </si>
  <si>
    <t>Thème</t>
  </si>
  <si>
    <t>GEN-005</t>
  </si>
  <si>
    <t>Radio et information</t>
  </si>
  <si>
    <t>Inclure une radio à piles et des piles de rechange pour suivre les consignes des autorités.</t>
  </si>
  <si>
    <t>Cyclone</t>
  </si>
  <si>
    <t>Inondation</t>
  </si>
  <si>
    <t>Séisme</t>
  </si>
  <si>
    <t>Vérifier la présence dans toutes les variantes de kit.</t>
  </si>
  <si>
    <t>Reformuler ; lien vers la source officielle.</t>
  </si>
  <si>
    <t>Mouvement de terrain</t>
  </si>
  <si>
    <t>Équipement essentiel.</t>
  </si>
  <si>
    <t>GEN-006</t>
  </si>
  <si>
    <t>Éclairage</t>
  </si>
  <si>
    <t>Inclure une lampe de poche et des piles de rechange.</t>
  </si>
  <si>
    <t>Population de référence</t>
  </si>
  <si>
    <t>Lecture : le registre est une base de travail probante, mais aucune ligne ne doit être considérée comme validée pour publication tant que le libellé exact du prototype n'a pas été comparé à la source et, si nécessaire, relu localement.</t>
  </si>
  <si>
    <t>Contrôler la catégorie énergie et éclairage.</t>
  </si>
  <si>
    <t>Prévoir une formulation prudente concernant bougies/allumettes.</t>
  </si>
  <si>
    <t>GEN-007</t>
  </si>
  <si>
    <t>Communication</t>
  </si>
  <si>
    <t>Inclure un chargeur de téléphone portable.</t>
  </si>
  <si>
    <t>Vérifier si une batterie externe est proposée et distinguer la recommandation officielle du conseil complémentaire.</t>
  </si>
  <si>
    <t>Ne pas étendre la recommandation sans source complémentaire.</t>
  </si>
  <si>
    <t>Le texte officiel cite un chargeur de téléphone.</t>
  </si>
  <si>
    <t>GEN-008</t>
  </si>
  <si>
    <t>Alimentation</t>
  </si>
  <si>
    <t>Prévoir de la nourriture non périssable ne nécessitant pas de cuisson, y compris les besoins des bébés et animaux.</t>
  </si>
  <si>
    <t>Contrôler les variantes selon la composition du foyer.</t>
  </si>
  <si>
    <t>Reformuler ; éviter toute quantité non sourcée.</t>
  </si>
  <si>
    <t>La source cite conserves, petits pots bébé et nourriture pour animaux.</t>
  </si>
  <si>
    <t>GEN-009</t>
  </si>
  <si>
    <t>Santé</t>
  </si>
  <si>
    <t>Inclure les médicaments nécessaires et une trousse de premiers secours.</t>
  </si>
  <si>
    <t>Ajouter une mise en garde : ne pas modifier un traitement et anticiper les besoins avec un professionnel si nécessaire.</t>
  </si>
  <si>
    <t>Ne pas fournir de conseil médical individuel ni de posologie.</t>
  </si>
  <si>
    <t>Annexe 03 - protection des données</t>
  </si>
  <si>
    <t>Aucune donnée médicale détaillée ne doit être demandée.</t>
  </si>
  <si>
    <t>GEN-010</t>
  </si>
  <si>
    <t>Documents essentiels</t>
  </si>
  <si>
    <t>Kit / checklist</t>
  </si>
  <si>
    <t>Conserver des photocopies des documents essentiels dans une pochette étanche.</t>
  </si>
  <si>
    <t>Vérifier la recommandation dans le diagnostic et la checklist.</t>
  </si>
  <si>
    <t>Reformuler ; ne pas demander le téléversement de documents.</t>
  </si>
  <si>
    <t>Annexe 01 - module diagnostic</t>
  </si>
  <si>
    <t>Inclure notamment identité et ordonnances à titre d'exemples.</t>
  </si>
  <si>
    <t>GEN-011</t>
  </si>
  <si>
    <t>Argent et accès</t>
  </si>
  <si>
    <t>Prévoir de l'argent liquide, les distributeurs pouvant être indisponibles.</t>
  </si>
  <si>
    <t>Vérifier la présence dans le kit et ne proposer aucun montant arbitraire.</t>
  </si>
  <si>
    <t>Reformuler sans montant non sourcé.</t>
  </si>
  <si>
    <t>Élément officiel du kit.</t>
  </si>
  <si>
    <t>GEN-012</t>
  </si>
  <si>
    <t>Entretien du kit</t>
  </si>
  <si>
    <t>Placer le kit dans un endroit facile d'accès et vérifier son contenu au moins une fois par an.</t>
  </si>
  <si>
    <t>Ajouter une action périodique dans la checklist.</t>
  </si>
  <si>
    <t>Reformuler ; rappeler péremptions, piles et réapprovisionnement.</t>
  </si>
  <si>
    <t>Annexe 02 - capture 5</t>
  </si>
  <si>
    <t>Action de suivi durable.</t>
  </si>
  <si>
    <t>CYC-001</t>
  </si>
  <si>
    <t>Fiche risque / quiz</t>
  </si>
  <si>
    <t>Décrire le cyclone comme un phénomène pouvant associer vents violents, fortes pluies, houle et perturbation des réseaux.</t>
  </si>
  <si>
    <t>Risques météorologiques</t>
  </si>
  <si>
    <t>https://www.mayotte.gouv.fr/Actions-de-l-Etat/Prevention-des-risques-et-securite/Prevention-des-risques2/Risques-naturels/Risques-meteorologiques</t>
  </si>
  <si>
    <t>Comparer aux textes introductifs de la fiche cyclone.</t>
  </si>
  <si>
    <t>Reformuler ; ne pas figer des seuils sans source actualisée.</t>
  </si>
  <si>
    <t>Annexe 01 - contexte territorial</t>
  </si>
  <si>
    <t>Source locale prioritaire.</t>
  </si>
  <si>
    <t>CYC-002</t>
  </si>
  <si>
    <t>Fiche risque / alertes</t>
  </si>
  <si>
    <t>Présenter les phases d'action du dispositif ORSEC Cyclone : pré-alerte, orange, rouge, violette et sauvegarde.</t>
  </si>
  <si>
    <t>ORSEC Cyclones</t>
  </si>
  <si>
    <t>https://www.mayotte.gouv.fr/Actions-de-l-Etat/Prevention-des-risques-et-securite/Prevention-des-risques2/Risques-naturels/Risques-meteorologiques/Cyclones/ORSEC-Cyclones</t>
  </si>
  <si>
    <t>Vérifier les libellés exacts et les consignes propres à chaque phase dans le PDF ORSEC 2025.</t>
  </si>
  <si>
    <t>Ne pas résumer une phase sans contrôle du document ORSEC complet.</t>
  </si>
  <si>
    <t>Annexe 01 - gouvernance des contenus</t>
  </si>
  <si>
    <t>Source locale mise à jour en 2026.</t>
  </si>
  <si>
    <t>CYC-003</t>
  </si>
  <si>
    <t>Distinguer la vigilance météorologique de l'alerte décidée par les autorités de gestion de crise.</t>
  </si>
  <si>
    <t>Météo-France</t>
  </si>
  <si>
    <t>La Vigilance météorologique en Outre-mer</t>
  </si>
  <si>
    <t>https://meteofrance.com/comprendre-la-vigilance/la-vigilance-meteorologique-en-outre-mer</t>
  </si>
  <si>
    <t>Vérifier que la plateforme ne confond jamais vigilance et alerte.</t>
  </si>
  <si>
    <t>Reformuler ; renvoyer vers les autorités pour les consignes.</t>
  </si>
  <si>
    <t>À Mayotte, la vigilance grand public cesse à partir de l'alerte orange cyclonique.</t>
  </si>
  <si>
    <t>CYC-004</t>
  </si>
  <si>
    <t>Checklist logement</t>
  </si>
  <si>
    <t>Anticiper la sécurisation des ouvertures, objets extérieurs et équipements exposés avant la dégradation des conditions.</t>
  </si>
  <si>
    <t>Risques météorologiques / documents de conduite à tenir</t>
  </si>
  <si>
    <t>Consulter la plaquette de précautions cycloniques et tracer chaque action retenue.</t>
  </si>
  <si>
    <t>Ne pas publier comme consigne définitive avant extraction du document officiel.</t>
  </si>
  <si>
    <t>Annexe 02 - checklist</t>
  </si>
  <si>
    <t>Validation détaillée encore nécessaire.</t>
  </si>
  <si>
    <t>CYC-005</t>
  </si>
  <si>
    <t>Fiche risque / comportements</t>
  </si>
  <si>
    <t>Présenter les bons réflexes avant, pendant et après un cyclone, avec renvoi systématique aux consignes officielles.</t>
  </si>
  <si>
    <t>Géorisques</t>
  </si>
  <si>
    <t>Que faire en cas de cyclone ?</t>
  </si>
  <si>
    <t>https://www.georisques.gouv.fr/me-preparer-me-proteger/que-faire-en-cas-de-cyclone</t>
  </si>
  <si>
    <t>Télécharger et analyser la plaquette officielle avant validation des formulations.</t>
  </si>
  <si>
    <t>Reformuler ; vérifier les droits de l'illustration.</t>
  </si>
  <si>
    <t>Annexe 01 - fiche cyclone</t>
  </si>
  <si>
    <t>Complément national à contextualiser pour Mayotte.</t>
  </si>
  <si>
    <t>INO-001</t>
  </si>
  <si>
    <t>Fiche risque</t>
  </si>
  <si>
    <t>Expliquer qu'une inondation peut résulter de fortes pluies, du ruissellement urbain, d'un débordement ou d'une submersion.</t>
  </si>
  <si>
    <t>Inondations</t>
  </si>
  <si>
    <t>https://www.mayotte.gouv.fr/Actions-de-l-Etat/Prevention-des-risques-et-securite/Prevention-des-risques2/Risques-naturels/Inondations2</t>
  </si>
  <si>
    <t>Comparer à l'introduction de la fiche inondation.</t>
  </si>
  <si>
    <t>Reformuler et dater la vérification.</t>
  </si>
  <si>
    <t>Source locale.</t>
  </si>
  <si>
    <t>INO-002</t>
  </si>
  <si>
    <t>Diagnostic / plan d'actions</t>
  </si>
  <si>
    <t>Inviter l'utilisateur à se renseigner auprès de sa mairie sur le type d'inondation et les mesures locales de protection.</t>
  </si>
  <si>
    <t>Que faire en cas d'inondation ?</t>
  </si>
  <si>
    <t>https://www.georisques.gouv.fr/me-preparer-me-proteger/que-faire-en-cas-d-inondation</t>
  </si>
  <si>
    <t>Ajouter ou contrôler cette recommandation dans les actions personnalisées.</t>
  </si>
  <si>
    <t>Reformuler ; ne pas inventer de lieu de refuge local.</t>
  </si>
  <si>
    <t>Annexe 01 - plan d'actions</t>
  </si>
  <si>
    <t>La mairie reste la source pour les dispositifs locaux.</t>
  </si>
  <si>
    <t>INO-003</t>
  </si>
  <si>
    <t>Diagnostic / checklist</t>
  </si>
  <si>
    <t>Identifier une zone refuge en hauteur ou un lieu proche permettant de se mettre à l'abri.</t>
  </si>
  <si>
    <t>Vérifier l'adaptation aux logements sans étage et éviter toute promesse de sécurité.</t>
  </si>
  <si>
    <t>Reformuler ; prévoir une mention d'adaptation au contexte local.</t>
  </si>
  <si>
    <t>Annexe 02 - diagnostic</t>
  </si>
  <si>
    <t>Action personnalisée selon le logement.</t>
  </si>
  <si>
    <t>INO-004</t>
  </si>
  <si>
    <t>S'éloigner des cours d'eau, berges et ponts lorsque l'eau monte.</t>
  </si>
  <si>
    <t>Contrôler les questions et fiches avant/pendant.</t>
  </si>
  <si>
    <t>Reformuler fidèlement.</t>
  </si>
  <si>
    <t>Annexe 01 - fiches risques</t>
  </si>
  <si>
    <t>Bon réflexe officiel.</t>
  </si>
  <si>
    <t>INO-005</t>
  </si>
  <si>
    <t>Reporter les déplacements à pied ou en voiture pendant la montée des eaux.</t>
  </si>
  <si>
    <t>Contrôler le libellé et son niveau de priorité.</t>
  </si>
  <si>
    <t>INO-006</t>
  </si>
  <si>
    <t>Ne pas prendre sa voiture : 30 cm d'eau peuvent suffire à l'emporter.</t>
  </si>
  <si>
    <t>Vérifier la reprise exacte du seuil et afficher la source.</t>
  </si>
  <si>
    <t>Chiffre sensible : conserver la source et la date de vérification.</t>
  </si>
  <si>
    <t>Annexe 03 - registre des sources</t>
  </si>
  <si>
    <t>Donnée quantitative à tracer strictement.</t>
  </si>
  <si>
    <t>INO-007</t>
  </si>
  <si>
    <t>Ne pas aller chercher les enfants à l'école ou à la crèche lorsqu'une inondation est annoncée.</t>
  </si>
  <si>
    <t>Contextualiser sans affaiblir la consigne et renvoyer aux autorités.</t>
  </si>
  <si>
    <t>Reformuler fidèlement ; ne pas ajouter d'exception non sourcée.</t>
  </si>
  <si>
    <t>Annexe 01 - publics familles</t>
  </si>
  <si>
    <t>INO-008</t>
  </si>
  <si>
    <t>Se réfugier en hauteur, ne pas descendre dans les sous-sols ou parkings souterrains.</t>
  </si>
  <si>
    <t>Contrôler la formulation et l'ordre des actions.</t>
  </si>
  <si>
    <t>À adapter aux types de logement sans inventer de zone sûre.</t>
  </si>
  <si>
    <t>INO-009</t>
  </si>
  <si>
    <t>Rester à l'abri et n'évacuer que sur ordre des autorités ; rester à l'écoute de leurs consignes.</t>
  </si>
  <si>
    <t>Vérifier l'avertissement permanent et les liens institutionnels.</t>
  </si>
  <si>
    <t>Consigne prioritaire pendant la crise.</t>
  </si>
  <si>
    <t>INO-010</t>
  </si>
  <si>
    <t>Fiche risque / contexte</t>
  </si>
  <si>
    <t>Signaler l'exposition de Mayotte au débordement, ruissellement urbain, submersion marine et tsunami.</t>
  </si>
  <si>
    <t>PGRI du bassin de Mayotte 2022-2027</t>
  </si>
  <si>
    <t>https://www.mayotte.gouv.fr/Actions-de-l-Etat/Prevention-des-risques-et-securite/Prevention-des-risques2/Risques-naturels/Inondations2/Elaboration-du-plan-de-gestion-des-risques-d-inondation-PGRI-du-bassin-de-Mayotte-2022-2027</t>
  </si>
  <si>
    <t>Limiter la fiche aux éléments utiles à l'action du public.</t>
  </si>
  <si>
    <t>Reformuler ; ne pas reprendre de cartes sans vérifier les droits.</t>
  </si>
  <si>
    <t>Source locale de contexte.</t>
  </si>
  <si>
    <t>SEI-001</t>
  </si>
  <si>
    <t>Préciser que les séismes ne sont pas prévisibles et que Mayotte est classée en zone de sismicité modérée.</t>
  </si>
  <si>
    <t>Séismes</t>
  </si>
  <si>
    <t>https://www.mayotte.gouv.fr/Actions-de-l-Etat/Prevention-des-risques-et-securite/Prevention-des-risques2/Risques-naturels/Seismes</t>
  </si>
  <si>
    <t>Comparer à l'introduction et supprimer toute formulation laissant croire à une prévision.</t>
  </si>
  <si>
    <t>SEI-002</t>
  </si>
  <si>
    <t>Repérer les endroits où se protéger, loin des fenêtres et sous un meuble solide.</t>
  </si>
  <si>
    <t>Que faire en cas de séisme ?</t>
  </si>
  <si>
    <t>https://www.georisques.gouv.fr/me-preparer-me-proteger/que-faire-en-cas-de-seisme</t>
  </si>
  <si>
    <t>Vérifier l'action proposée dans la checklist logement.</t>
  </si>
  <si>
    <t>Mesure préventive.</t>
  </si>
  <si>
    <t>SEI-003</t>
  </si>
  <si>
    <t>Fixer les appareils et meubles lourds pour éviter leur chute ou leur projection.</t>
  </si>
  <si>
    <t>Contrôler la formulation et sa faisabilité.</t>
  </si>
  <si>
    <t>Reformuler ; ne pas donner de conseil technique de fixation non sourcé.</t>
  </si>
  <si>
    <t>SEI-004</t>
  </si>
  <si>
    <t>Pendant les secousses, s'abriter près d'un mur ou d'une structure porteuse, ou sous un meuble solide, et s'éloigner des fenêtres.</t>
  </si>
  <si>
    <t>Vérifier chaque choix proposé dans les quiz et mises en situation.</t>
  </si>
  <si>
    <t>Reformuler fidèlement ; éviter les simplifications dangereuses.</t>
  </si>
  <si>
    <t>Annexe 01 - modules pédagogiques</t>
  </si>
  <si>
    <t>Consigne pendant les secousses.</t>
  </si>
  <si>
    <t>SEI-005</t>
  </si>
  <si>
    <t>Après les secousses, sortir par les escaliers et s'éloigner des éléments susceptibles de s'effondrer.</t>
  </si>
  <si>
    <t>Contrôler l'enchaînement après-crise et la mention des répliques.</t>
  </si>
  <si>
    <t>Consigne après secousses.</t>
  </si>
  <si>
    <t>SEI-006</t>
  </si>
  <si>
    <t>Séisme / tsunami</t>
  </si>
  <si>
    <t>Après un séisme, s'éloigner des côtes et rejoindre les hauteurs en raison du risque de tsunami.</t>
  </si>
  <si>
    <t>Faire relire localement la formulation et le lien avec les consignes préfectorales.</t>
  </si>
  <si>
    <t>Reformuler fidèlement ; ne pas indiquer de parcours d'évacuation sans source locale.</t>
  </si>
  <si>
    <t>Annexe 01 - fiche séisme</t>
  </si>
  <si>
    <t>Point nécessitant une validation territoriale.</t>
  </si>
  <si>
    <t>SEI-007</t>
  </si>
  <si>
    <t>Rester attentif aux répliques et limiter les appels afin de laisser les réseaux disponibles pour les secours.</t>
  </si>
  <si>
    <t>Contrôler la présence dans la fiche après le séisme.</t>
  </si>
  <si>
    <t>Consigne post-événement.</t>
  </si>
  <si>
    <t>MDT-001</t>
  </si>
  <si>
    <t>Définir les mouvements de terrain comme des chutes de blocs, éboulements, glissements ou coulées de boue.</t>
  </si>
  <si>
    <t>Mouvements de terrain</t>
  </si>
  <si>
    <t>https://www.mayotte.gouv.fr/Actions-de-l-Etat/Prevention-des-risques-et-securite/Prevention-des-risques2/Risques-naturels/Mouvements-de-terrain2</t>
  </si>
  <si>
    <t>Comparer à la fiche et aux pictogrammes utilisés.</t>
  </si>
  <si>
    <t>MDT-002</t>
  </si>
  <si>
    <t>Distinguer mouvements lents et mouvements rapides et expliquer leur diversité.</t>
  </si>
  <si>
    <t>https://www.georisques.gouv.fr/minformer-sur-un-risque/mouvement-de-terrain</t>
  </si>
  <si>
    <t>Limiter le niveau technique aux informations utiles au grand public.</t>
  </si>
  <si>
    <t>Reformuler ; ne pas reproduire les illustrations sans autorisation.</t>
  </si>
  <si>
    <t>Annexe 01 - fiche mouvements de terrain</t>
  </si>
  <si>
    <t>Complément national.</t>
  </si>
  <si>
    <t>MDT-003</t>
  </si>
  <si>
    <t>Présenter la conduite à tenir uniquement après vérification de la fiche officielle diffusée par la Préfecture de Mayotte.</t>
  </si>
  <si>
    <t>Conduite à tenir en cas de mouvement de terrain</t>
  </si>
  <si>
    <t>Télécharger la fiche PDF, extraire les consignes exactes et créer des lignes distinctes dans le registre.</t>
  </si>
  <si>
    <t>Ne pas publier de consigne détaillée tant que le PDF n'a pas été analysé.</t>
  </si>
  <si>
    <t>Annexe 03 - cycle de validation</t>
  </si>
  <si>
    <t>Ligne de contrôle bloquante.</t>
  </si>
  <si>
    <t>VUL-001</t>
  </si>
  <si>
    <t>Nourrissons / enfants</t>
  </si>
  <si>
    <t>Adapter l'alimentation et les fournitures aux besoins des bébés et jeunes enfants.</t>
  </si>
  <si>
    <t>Contrôler les variantes du kit selon la composition du foyer.</t>
  </si>
  <si>
    <t>Ne pas proposer de quantité alimentaire ou médicale non sourcée.</t>
  </si>
  <si>
    <t>Annexe 01 - personnalisation</t>
  </si>
  <si>
    <t>La source cite les petits pots bébé.</t>
  </si>
  <si>
    <t>VUL-002</t>
  </si>
  <si>
    <t>Animaux</t>
  </si>
  <si>
    <t>Prévoir la nourriture et les besoins essentiels des animaux du foyer.</t>
  </si>
  <si>
    <t>Contrôler le calcul et la formulation sans quantité arbitraire.</t>
  </si>
  <si>
    <t>Reformuler ; ne pas fournir de conseil vétérinaire individuel.</t>
  </si>
  <si>
    <t>La source cite la nourriture pour animaux.</t>
  </si>
  <si>
    <t>VUL-003</t>
  </si>
  <si>
    <t>Personnes avec traitement / lunettes</t>
  </si>
  <si>
    <t>Prendre en compte les médicaments nécessaires, les ordonnances et une paire de lunettes de secours.</t>
  </si>
  <si>
    <t>Vérifier la formulation sans collecter de détail médical.</t>
  </si>
  <si>
    <t>Ne pas fournir de conseil médical individualisé.</t>
  </si>
  <si>
    <t>Annexe 03 - minimisation des données</t>
  </si>
  <si>
    <t>Point sensible de confidentialité.</t>
  </si>
  <si>
    <t>IMP-001</t>
  </si>
  <si>
    <t>Dossier / tableau de bord</t>
  </si>
  <si>
    <t>Utiliser 323 153 habitants comme population municipale de Mayotte au 1er janvier 2026 pour contextualiser l'objectif de 5 000 personnes.</t>
  </si>
  <si>
    <t>Insee</t>
  </si>
  <si>
    <t>Premiers résultats du recensement exhaustif de Mayotte</t>
  </si>
  <si>
    <t>https://www.insee.fr/fr/information/9022279</t>
  </si>
  <si>
    <t>Conserver la date de publication et recalculer uniquement si une nouvelle donnée officielle remplace cette référence.</t>
  </si>
  <si>
    <t>Citation de la donnée et lien vers la publication.</t>
  </si>
  <si>
    <t>Dossier principal - pages 2 et 11</t>
  </si>
  <si>
    <t>Source déjà utilisée dans les documents.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</si>
</sst>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12">
    <font>
      <sz val="11.0"/>
      <color rgb="FF000000"/>
      <name val="Carlito"/>
      <scheme val="minor"/>
    </font>
    <font>
      <b/>
      <sz val="15.0"/>
      <color rgb="FFFFFFFF"/>
      <name val="Carlito"/>
    </font>
    <font>
      <b/>
      <sz val="11.0"/>
      <color rgb="FFFFFFFF"/>
      <name val="Carlito"/>
    </font>
    <font>
      <sz val="11.0"/>
      <color theme="1"/>
      <name val="Carlito"/>
    </font>
    <font>
      <i/>
      <sz val="11.0"/>
      <color rgb="FF0B5F4B"/>
      <name val="Carlito"/>
    </font>
    <font>
      <b/>
      <sz val="10.0"/>
      <color rgb="FFFFFFFF"/>
      <name val="Carlito"/>
    </font>
    <font>
      <b/>
      <sz val="16.0"/>
      <color rgb="FFFFFFFF"/>
      <name val="Carlito"/>
    </font>
    <font>
      <b/>
      <sz val="11.0"/>
      <color theme="1"/>
      <name val="Carlito"/>
    </font>
    <font>
      <b/>
      <sz val="14.0"/>
      <color rgb="FF0B2A4A"/>
      <name val="Carlito"/>
    </font>
    <font>
      <i/>
      <sz val="11.0"/>
      <color rgb="FF6B4B00"/>
      <name val="Carlito"/>
    </font>
    <font/>
    <font>
      <color theme="1"/>
      <name val="Carlito"/>
      <scheme val="minor"/>
    </font>
  </fonts>
  <fills count="7">
    <fill>
      <patternFill patternType="none"/>
    </fill>
    <fill>
      <patternFill patternType="lightGray"/>
    </fill>
    <fill>
      <patternFill patternType="solid">
        <fgColor rgb="FF0B2A4A"/>
        <bgColor rgb="FF0B2A4A"/>
      </patternFill>
    </fill>
    <fill>
      <patternFill patternType="solid">
        <fgColor rgb="FF0E7C6B"/>
        <bgColor rgb="FF0E7C6B"/>
      </patternFill>
    </fill>
    <fill>
      <patternFill patternType="solid">
        <fgColor rgb="FFEAF4F2"/>
        <bgColor rgb="FFEAF4F2"/>
      </patternFill>
    </fill>
    <fill>
      <patternFill patternType="solid">
        <fgColor rgb="FFF4F8FA"/>
        <bgColor rgb="FFF4F8FA"/>
      </patternFill>
    </fill>
    <fill>
      <patternFill patternType="solid">
        <fgColor rgb="FFFFF4D6"/>
        <bgColor rgb="FFFFF4D6"/>
      </patternFill>
    </fill>
  </fills>
  <borders count="16">
    <border/>
    <border>
      <bottom style="thin">
        <color rgb="FFFFFFFF"/>
      </bottom>
    </border>
    <border>
      <left style="thin">
        <color rgb="FFC8D7E1"/>
      </left>
      <top style="thin">
        <color rgb="FFC8D7E1"/>
      </top>
    </border>
    <border>
      <right style="thin">
        <color rgb="FFC8D7E1"/>
      </right>
      <top style="thin">
        <color rgb="FFC8D7E1"/>
      </top>
    </border>
    <border>
      <left style="thin">
        <color rgb="FFC8D7E1"/>
      </left>
    </border>
    <border>
      <right style="thin">
        <color rgb="FFC8D7E1"/>
      </right>
    </border>
    <border>
      <left style="thin">
        <color rgb="FFC8D7E1"/>
      </left>
      <bottom style="thin">
        <color rgb="FFC8D7E1"/>
      </bottom>
    </border>
    <border>
      <right style="thin">
        <color rgb="FFC8D7E1"/>
      </right>
      <bottom style="thin">
        <color rgb="FFC8D7E1"/>
      </bottom>
    </border>
    <border>
      <left style="thin">
        <color rgb="FFD9B85F"/>
      </left>
      <top style="thin">
        <color rgb="FFD9B85F"/>
      </top>
    </border>
    <border>
      <top style="thin">
        <color rgb="FFD9B85F"/>
      </top>
    </border>
    <border>
      <right style="thin">
        <color rgb="FFD9B85F"/>
      </right>
      <top style="thin">
        <color rgb="FFD9B85F"/>
      </top>
    </border>
    <border>
      <left style="thin">
        <color rgb="FFD9B85F"/>
      </left>
    </border>
    <border>
      <right style="thin">
        <color rgb="FFD9B85F"/>
      </right>
    </border>
    <border>
      <left style="thin">
        <color rgb="FFD9B85F"/>
      </left>
      <bottom style="thin">
        <color rgb="FFD9B85F"/>
      </bottom>
    </border>
    <border>
      <bottom style="thin">
        <color rgb="FFD9B85F"/>
      </bottom>
    </border>
    <border>
      <right style="thin">
        <color rgb="FFD9B85F"/>
      </right>
      <bottom style="thin">
        <color rgb="FFD9B85F"/>
      </bottom>
    </border>
  </borders>
  <cellStyleXfs count="1">
    <xf borderId="0" fillId="0" fontId="0" numFmtId="0" applyAlignment="1" applyFont="1"/>
  </cellStyleXfs>
  <cellXfs count="3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/>
    </xf>
    <xf borderId="0" fillId="3" fontId="2" numFmtId="0" xfId="0" applyAlignment="1" applyFill="1" applyFont="1">
      <alignment horizontal="center" shrinkToFit="0" vertical="top" wrapText="1"/>
    </xf>
    <xf borderId="0" fillId="2" fontId="2" numFmtId="0" xfId="0" applyAlignment="1" applyFont="1">
      <alignment horizontal="center" shrinkToFit="0" wrapText="1"/>
    </xf>
    <xf borderId="0" fillId="0" fontId="3" numFmtId="0" xfId="0" applyAlignment="1" applyFont="1">
      <alignment shrinkToFit="0" vertical="top" wrapText="1"/>
    </xf>
    <xf borderId="0" fillId="0" fontId="3" numFmtId="0" xfId="0" applyAlignment="1" applyFont="1">
      <alignment shrinkToFit="0" wrapText="1"/>
    </xf>
    <xf borderId="0" fillId="4" fontId="4" numFmtId="0" xfId="0" applyAlignment="1" applyFill="1" applyFont="1">
      <alignment readingOrder="0" shrinkToFit="0" vertical="center" wrapText="1"/>
    </xf>
    <xf borderId="1" fillId="2" fontId="5" numFmtId="0" xfId="0" applyAlignment="1" applyBorder="1" applyFont="1">
      <alignment horizontal="center" readingOrder="0" shrinkToFit="0" vertical="center" wrapText="1"/>
    </xf>
    <xf borderId="0" fillId="0" fontId="3" numFmtId="0" xfId="0" applyAlignment="1" applyFont="1">
      <alignment shrinkToFit="0" vertical="top" wrapText="1"/>
    </xf>
    <xf borderId="0" fillId="2" fontId="6" numFmtId="0" xfId="0" applyAlignment="1" applyFont="1">
      <alignment horizontal="center" vertical="center"/>
    </xf>
    <xf borderId="0" fillId="0" fontId="3" numFmtId="164" xfId="0" applyAlignment="1" applyFont="1" applyNumberFormat="1">
      <alignment shrinkToFit="0" vertical="top" wrapText="1"/>
    </xf>
    <xf borderId="0" fillId="3" fontId="2" numFmtId="0" xfId="0" applyAlignment="1" applyFont="1">
      <alignment horizontal="center"/>
    </xf>
    <xf borderId="2" fillId="5" fontId="7" numFmtId="0" xfId="0" applyBorder="1" applyFill="1" applyFont="1"/>
    <xf borderId="3" fillId="5" fontId="8" numFmtId="0" xfId="0" applyBorder="1" applyFont="1"/>
    <xf borderId="2" fillId="5" fontId="3" numFmtId="0" xfId="0" applyBorder="1" applyFont="1"/>
    <xf borderId="3" fillId="5" fontId="3" numFmtId="0" xfId="0" applyBorder="1" applyFont="1"/>
    <xf borderId="4" fillId="5" fontId="7" numFmtId="0" xfId="0" applyBorder="1" applyFont="1"/>
    <xf borderId="5" fillId="5" fontId="8" numFmtId="0" xfId="0" applyBorder="1" applyFont="1"/>
    <xf borderId="4" fillId="5" fontId="3" numFmtId="0" xfId="0" applyBorder="1" applyFont="1"/>
    <xf borderId="5" fillId="5" fontId="3" numFmtId="0" xfId="0" applyBorder="1" applyFont="1"/>
    <xf borderId="6" fillId="5" fontId="7" numFmtId="0" xfId="0" applyBorder="1" applyFont="1"/>
    <xf borderId="7" fillId="5" fontId="8" numFmtId="0" xfId="0" applyBorder="1" applyFont="1"/>
    <xf borderId="6" fillId="5" fontId="3" numFmtId="0" xfId="0" applyBorder="1" applyFont="1"/>
    <xf borderId="7" fillId="5" fontId="3" numFmtId="0" xfId="0" applyBorder="1" applyFont="1"/>
    <xf borderId="8" fillId="6" fontId="9" numFmtId="0" xfId="0" applyAlignment="1" applyBorder="1" applyFill="1" applyFont="1">
      <alignment shrinkToFit="0" vertical="center" wrapText="1"/>
    </xf>
    <xf borderId="9" fillId="0" fontId="10" numFmtId="0" xfId="0" applyBorder="1" applyFont="1"/>
    <xf borderId="10" fillId="0" fontId="10" numFmtId="0" xfId="0" applyBorder="1" applyFont="1"/>
    <xf borderId="11" fillId="0" fontId="10" numFmtId="0" xfId="0" applyBorder="1" applyFont="1"/>
    <xf borderId="12" fillId="0" fontId="10" numFmtId="0" xfId="0" applyBorder="1" applyFont="1"/>
    <xf borderId="13" fillId="0" fontId="10" numFmtId="0" xfId="0" applyBorder="1" applyFont="1"/>
    <xf borderId="14" fillId="0" fontId="10" numFmtId="0" xfId="0" applyBorder="1" applyFont="1"/>
    <xf borderId="15" fillId="0" fontId="10" numFmtId="0" xfId="0" applyBorder="1" applyFont="1"/>
    <xf borderId="0" fillId="0" fontId="11" numFmtId="0" xfId="0" applyFont="1"/>
  </cellXfs>
  <cellStyles count="1">
    <cellStyle xfId="0" name="Normal" builtinId="0"/>
  </cellStyles>
  <dxfs count="9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0B5F4B"/>
      </font>
      <fill>
        <patternFill patternType="solid">
          <fgColor rgb="FFD7F2E8"/>
          <bgColor rgb="FFD7F2E8"/>
        </patternFill>
      </fill>
      <border/>
    </dxf>
    <dxf>
      <font>
        <color rgb="FF7A4A00"/>
      </font>
      <fill>
        <patternFill patternType="solid">
          <fgColor rgb="FFFFF1CC"/>
          <bgColor rgb="FFFFF1CC"/>
        </patternFill>
      </fill>
      <border/>
    </dxf>
    <dxf>
      <font>
        <b/>
        <color rgb="FF9C1C1C"/>
      </font>
      <fill>
        <patternFill patternType="solid">
          <fgColor rgb="FFFDE2E2"/>
          <bgColor rgb="FFFDE2E2"/>
        </patternFill>
      </fill>
      <border/>
    </dxf>
    <dxf>
      <font>
        <color rgb="FF183B66"/>
      </font>
      <fill>
        <patternFill patternType="solid">
          <fgColor rgb="FFE8EEF8"/>
          <bgColor rgb="FFE8EEF8"/>
        </patternFill>
      </fill>
      <border/>
    </dxf>
  </dxfs>
  <tableStyles count="1">
    <tableStyle count="4" pivot="0" name="Registre_sources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État de validation éditoriale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Nombre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Synthese!$D$4:$D$9</c:f>
            </c:strRef>
          </c:cat>
          <c:val>
            <c:numRef>
              <c:f>Synthese!$E$4:$E$9</c:f>
              <c:numCache/>
            </c:numRef>
          </c:val>
        </c:ser>
        <c:axId val="1560637364"/>
        <c:axId val="851423837"/>
      </c:barChart>
      <c:catAx>
        <c:axId val="15606373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851423837"/>
      </c:catAx>
      <c:valAx>
        <c:axId val="85142383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560637364"/>
      </c:valAx>
    </c:plotArea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10</xdr:row>
      <xdr:rowOff>0</xdr:rowOff>
    </xdr:from>
    <xdr:ext cx="5172075" cy="3400425"/>
    <xdr:graphicFrame>
      <xdr:nvGraphicFramePr>
        <xdr:cNvPr id="147806361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S42" displayName="RegistreSourcesTable" name="RegistreSourcesTable" id="1">
  <tableColumns count="19">
    <tableColumn name="ID" id="1"/>
    <tableColumn name="Domaine" id="2"/>
    <tableColumn name="Risque / thème" id="3"/>
    <tableColumn name="Module plateforme" id="4"/>
    <tableColumn name="Objet de validation / recommandation" id="5"/>
    <tableColumn name="Organisme source" id="6"/>
    <tableColumn name="Intitulé de la source" id="7"/>
    <tableColumn name="URL officielle" id="8"/>
    <tableColumn name="Date source / MAJ" id="9"/>
    <tableColumn name="Source vérifiée le" id="10"/>
    <tableColumn name="Niveau de source" id="11"/>
    <tableColumn name="Type d'utilisation" id="12"/>
    <tableColumn name="Statut de validation" id="13"/>
    <tableColumn name="Relecteur / structure" id="14"/>
    <tableColumn name="Date de validation" id="15"/>
    <tableColumn name="Prochaine action" id="16"/>
    <tableColumn name="Droits d'usage / vigilance" id="17"/>
    <tableColumn name="Preuve / annexe associée" id="18"/>
    <tableColumn name="Commentaires" id="19"/>
  </tableColumns>
  <tableStyleInfo name="Registre_sourc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1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8.0"/>
    <col customWidth="1" min="3" max="3" width="8.63"/>
    <col customWidth="1" min="4" max="4" width="30.0"/>
    <col customWidth="1" min="5" max="5" width="12.0"/>
    <col customWidth="1" min="6" max="26" width="8.63"/>
  </cols>
  <sheetData>
    <row r="1" ht="37.5" customHeight="1">
      <c r="A1" s="9" t="s">
        <v>84</v>
      </c>
    </row>
    <row r="3">
      <c r="A3" s="11" t="s">
        <v>87</v>
      </c>
      <c r="B3" s="11" t="s">
        <v>88</v>
      </c>
      <c r="D3" s="11" t="s">
        <v>89</v>
      </c>
      <c r="E3" s="11" t="s">
        <v>90</v>
      </c>
    </row>
    <row r="4">
      <c r="A4" s="12" t="s">
        <v>91</v>
      </c>
      <c r="B4" s="13">
        <f>COUNTA(Registre_sources!A2:A42)</f>
        <v>41</v>
      </c>
      <c r="D4" s="14" t="s">
        <v>12</v>
      </c>
      <c r="E4" s="15">
        <f>COUNTIF(Registre_sources!M2:M42,D4)</f>
        <v>17</v>
      </c>
    </row>
    <row r="5">
      <c r="A5" s="16" t="s">
        <v>103</v>
      </c>
      <c r="B5" s="17">
        <f>COUNTIF(Registre_sources!K2:K42,"1 - Autorité publique")</f>
        <v>41</v>
      </c>
      <c r="D5" s="18" t="s">
        <v>20</v>
      </c>
      <c r="E5" s="19">
        <f>COUNTIF(Registre_sources!M2:M42,D5)</f>
        <v>20</v>
      </c>
    </row>
    <row r="6">
      <c r="A6" s="16" t="s">
        <v>109</v>
      </c>
      <c r="B6" s="17">
        <f>COUNTIF(Registre_sources!M2:M42,"Validé pour le dossier")</f>
        <v>1</v>
      </c>
      <c r="D6" s="18" t="s">
        <v>28</v>
      </c>
      <c r="E6" s="19">
        <f>COUNTIF(Registre_sources!M2:M42,D6)</f>
        <v>3</v>
      </c>
    </row>
    <row r="7">
      <c r="A7" s="16" t="s">
        <v>115</v>
      </c>
      <c r="B7" s="17">
        <f>COUNTIF(Registre_sources!M2:M42,"Formulation à valider")</f>
        <v>20</v>
      </c>
      <c r="D7" s="18" t="s">
        <v>37</v>
      </c>
      <c r="E7" s="19">
        <f>COUNTIF(Registre_sources!M2:M42,D7)</f>
        <v>0</v>
      </c>
    </row>
    <row r="8">
      <c r="A8" s="20" t="s">
        <v>116</v>
      </c>
      <c r="B8" s="21">
        <f>COUNTIF(Registre_sources!M2:M42,"Document source à détailler")</f>
        <v>3</v>
      </c>
      <c r="D8" s="18" t="s">
        <v>46</v>
      </c>
      <c r="E8" s="19">
        <f>COUNTIF(Registre_sources!M2:M42,D8)</f>
        <v>0</v>
      </c>
    </row>
    <row r="9">
      <c r="D9" s="22" t="s">
        <v>54</v>
      </c>
      <c r="E9" s="23">
        <f>COUNTIF(Registre_sources!M2:M42,D9)</f>
        <v>1</v>
      </c>
    </row>
    <row r="11">
      <c r="A11" s="11" t="s">
        <v>128</v>
      </c>
      <c r="B11" s="11" t="s">
        <v>90</v>
      </c>
    </row>
    <row r="12">
      <c r="A12" s="14" t="s">
        <v>80</v>
      </c>
      <c r="B12" s="15">
        <f>COUNTIF(Registre_sources!C2:C42,A12)</f>
        <v>1</v>
      </c>
    </row>
    <row r="13">
      <c r="A13" s="18" t="s">
        <v>110</v>
      </c>
      <c r="B13" s="19">
        <f>COUNTIF(Registre_sources!C2:C42,A13)</f>
        <v>1</v>
      </c>
    </row>
    <row r="14">
      <c r="A14" s="18" t="s">
        <v>132</v>
      </c>
      <c r="B14" s="19">
        <f>COUNTIF(Registre_sources!C2:C42,A14)</f>
        <v>5</v>
      </c>
    </row>
    <row r="15">
      <c r="A15" s="18" t="s">
        <v>133</v>
      </c>
      <c r="B15" s="19">
        <f>COUNTIF(Registre_sources!C2:C42,A15)</f>
        <v>10</v>
      </c>
    </row>
    <row r="16">
      <c r="A16" s="18" t="s">
        <v>134</v>
      </c>
      <c r="B16" s="19">
        <f>COUNTIF(Registre_sources!C2:C42,A16)</f>
        <v>6</v>
      </c>
    </row>
    <row r="17">
      <c r="A17" s="18" t="s">
        <v>137</v>
      </c>
      <c r="B17" s="19">
        <f>COUNTIF(Registre_sources!C2:C42,A17)</f>
        <v>3</v>
      </c>
    </row>
    <row r="18">
      <c r="A18" s="18" t="s">
        <v>97</v>
      </c>
      <c r="B18" s="19">
        <f>COUNTIF(Registre_sources!C2:C42,A18)</f>
        <v>1</v>
      </c>
    </row>
    <row r="19">
      <c r="A19" s="22" t="s">
        <v>142</v>
      </c>
      <c r="B19" s="23">
        <f>COUNTIF(Registre_sources!C2:C42,A19)</f>
        <v>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>
      <c r="A29" s="24" t="s">
        <v>143</v>
      </c>
      <c r="B29" s="25"/>
      <c r="C29" s="25"/>
      <c r="D29" s="25"/>
      <c r="E29" s="25"/>
      <c r="F29" s="25"/>
      <c r="G29" s="25"/>
      <c r="H29" s="26"/>
    </row>
    <row r="30" ht="15.75" customHeight="1">
      <c r="A30" s="27"/>
      <c r="H30" s="28"/>
    </row>
    <row r="31" ht="15.75" customHeight="1">
      <c r="A31" s="29"/>
      <c r="B31" s="30"/>
      <c r="C31" s="30"/>
      <c r="D31" s="30"/>
      <c r="E31" s="30"/>
      <c r="F31" s="30"/>
      <c r="G31" s="30"/>
      <c r="H31" s="31"/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9:H3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42.0"/>
    <col customWidth="1" min="3" max="3" width="22.0"/>
    <col customWidth="1" min="4" max="4" width="30.0"/>
    <col customWidth="1" min="5" max="5" width="28.0"/>
    <col customWidth="1" min="6" max="6" width="42.0"/>
    <col customWidth="1" min="7" max="26" width="8.63"/>
  </cols>
  <sheetData>
    <row r="1">
      <c r="A1" s="1" t="s">
        <v>0</v>
      </c>
    </row>
    <row r="3">
      <c r="A3" s="2" t="s">
        <v>1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</row>
    <row r="4">
      <c r="A4" s="4" t="s">
        <v>8</v>
      </c>
      <c r="B4" s="4" t="s">
        <v>13</v>
      </c>
      <c r="C4" s="4" t="s">
        <v>14</v>
      </c>
      <c r="D4" s="4" t="s">
        <v>15</v>
      </c>
      <c r="E4" s="4" t="s">
        <v>12</v>
      </c>
      <c r="F4" s="4" t="s">
        <v>16</v>
      </c>
    </row>
    <row r="5">
      <c r="A5" s="4" t="s">
        <v>17</v>
      </c>
      <c r="B5" s="4" t="s">
        <v>18</v>
      </c>
      <c r="C5" s="4" t="s">
        <v>14</v>
      </c>
      <c r="D5" s="4" t="s">
        <v>19</v>
      </c>
      <c r="E5" s="4" t="s">
        <v>20</v>
      </c>
      <c r="F5" s="4" t="s">
        <v>21</v>
      </c>
    </row>
    <row r="6">
      <c r="A6" s="4" t="s">
        <v>24</v>
      </c>
      <c r="B6" s="4" t="s">
        <v>26</v>
      </c>
      <c r="C6" s="4" t="s">
        <v>14</v>
      </c>
      <c r="D6" s="4" t="s">
        <v>27</v>
      </c>
      <c r="E6" s="4" t="s">
        <v>28</v>
      </c>
      <c r="F6" s="4" t="s">
        <v>30</v>
      </c>
    </row>
    <row r="7">
      <c r="A7" s="4" t="s">
        <v>32</v>
      </c>
      <c r="B7" s="4" t="s">
        <v>34</v>
      </c>
      <c r="C7" s="4" t="s">
        <v>35</v>
      </c>
      <c r="D7" s="4" t="s">
        <v>36</v>
      </c>
      <c r="E7" s="4" t="s">
        <v>37</v>
      </c>
      <c r="F7" s="4" t="s">
        <v>39</v>
      </c>
    </row>
    <row r="8">
      <c r="A8" s="4" t="s">
        <v>41</v>
      </c>
      <c r="B8" s="4" t="s">
        <v>43</v>
      </c>
      <c r="C8" s="4" t="s">
        <v>44</v>
      </c>
      <c r="D8" s="4" t="s">
        <v>45</v>
      </c>
      <c r="E8" s="4" t="s">
        <v>46</v>
      </c>
      <c r="F8" s="4" t="s">
        <v>48</v>
      </c>
    </row>
    <row r="9">
      <c r="A9" s="4" t="s">
        <v>50</v>
      </c>
      <c r="B9" s="4" t="s">
        <v>51</v>
      </c>
      <c r="C9" s="4" t="s">
        <v>14</v>
      </c>
      <c r="D9" s="4" t="s">
        <v>53</v>
      </c>
      <c r="E9" s="4" t="s">
        <v>54</v>
      </c>
      <c r="F9" s="4" t="s">
        <v>56</v>
      </c>
    </row>
    <row r="11">
      <c r="A11" s="6" t="s">
        <v>57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11:F14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1.0"/>
    <col customWidth="1" min="2" max="2" width="20.0"/>
    <col customWidth="1" min="3" max="3" width="18.0"/>
    <col customWidth="1" min="4" max="4" width="22.0"/>
    <col customWidth="1" min="5" max="5" width="44.0"/>
    <col customWidth="1" min="6" max="6" width="24.0"/>
    <col customWidth="1" min="7" max="7" width="34.0"/>
    <col customWidth="1" min="8" max="8" width="48.0"/>
    <col customWidth="1" min="9" max="10" width="15.0"/>
    <col customWidth="1" min="11" max="12" width="20.0"/>
    <col customWidth="1" min="13" max="13" width="24.0"/>
    <col customWidth="1" min="14" max="14" width="22.0"/>
    <col customWidth="1" min="15" max="15" width="15.0"/>
    <col customWidth="1" min="16" max="16" width="42.0"/>
    <col customWidth="1" min="17" max="17" width="38.0"/>
    <col customWidth="1" min="18" max="18" width="28.0"/>
    <col customWidth="1" min="19" max="19" width="34.0"/>
    <col customWidth="1" min="20" max="26" width="8.63"/>
  </cols>
  <sheetData>
    <row r="1" ht="54.0" customHeight="1">
      <c r="A1" s="7" t="s">
        <v>60</v>
      </c>
      <c r="B1" s="7" t="s">
        <v>61</v>
      </c>
      <c r="C1" s="7" t="s">
        <v>62</v>
      </c>
      <c r="D1" s="7" t="s">
        <v>63</v>
      </c>
      <c r="E1" s="7" t="s">
        <v>64</v>
      </c>
      <c r="F1" s="7" t="s">
        <v>65</v>
      </c>
      <c r="G1" s="7" t="s">
        <v>66</v>
      </c>
      <c r="H1" s="7" t="s">
        <v>67</v>
      </c>
      <c r="I1" s="7" t="s">
        <v>68</v>
      </c>
      <c r="J1" s="7" t="s">
        <v>69</v>
      </c>
      <c r="K1" s="7" t="s">
        <v>70</v>
      </c>
      <c r="L1" s="7" t="s">
        <v>71</v>
      </c>
      <c r="M1" s="7" t="s">
        <v>72</v>
      </c>
      <c r="N1" s="7" t="s">
        <v>73</v>
      </c>
      <c r="O1" s="7" t="s">
        <v>74</v>
      </c>
      <c r="P1" s="7" t="s">
        <v>75</v>
      </c>
      <c r="Q1" s="7" t="s">
        <v>76</v>
      </c>
      <c r="R1" s="7" t="s">
        <v>77</v>
      </c>
      <c r="S1" s="7" t="s">
        <v>78</v>
      </c>
    </row>
    <row r="2" ht="37.5" customHeight="1">
      <c r="A2" s="8" t="s">
        <v>79</v>
      </c>
      <c r="B2" s="8" t="s">
        <v>49</v>
      </c>
      <c r="C2" s="8" t="s">
        <v>80</v>
      </c>
      <c r="D2" s="8" t="s">
        <v>81</v>
      </c>
      <c r="E2" s="8" t="s">
        <v>82</v>
      </c>
      <c r="F2" s="8" t="s">
        <v>83</v>
      </c>
      <c r="G2" s="8" t="s">
        <v>85</v>
      </c>
      <c r="H2" s="8" t="s">
        <v>86</v>
      </c>
      <c r="I2" s="10"/>
      <c r="J2" s="10">
        <v>46239.0</v>
      </c>
      <c r="K2" s="8" t="s">
        <v>22</v>
      </c>
      <c r="L2" s="8" t="s">
        <v>23</v>
      </c>
      <c r="M2" s="8" t="s">
        <v>12</v>
      </c>
      <c r="N2" s="8"/>
      <c r="O2" s="10"/>
      <c r="P2" s="8" t="s">
        <v>92</v>
      </c>
      <c r="Q2" s="8" t="s">
        <v>93</v>
      </c>
      <c r="R2" s="8" t="s">
        <v>94</v>
      </c>
      <c r="S2" s="8" t="s">
        <v>95</v>
      </c>
    </row>
    <row r="3" ht="37.5" customHeight="1">
      <c r="A3" s="8" t="s">
        <v>96</v>
      </c>
      <c r="B3" s="8" t="s">
        <v>25</v>
      </c>
      <c r="C3" s="8" t="s">
        <v>97</v>
      </c>
      <c r="D3" s="8" t="s">
        <v>98</v>
      </c>
      <c r="E3" s="8" t="s">
        <v>99</v>
      </c>
      <c r="F3" s="8" t="s">
        <v>100</v>
      </c>
      <c r="G3" s="8" t="s">
        <v>101</v>
      </c>
      <c r="H3" s="8" t="s">
        <v>102</v>
      </c>
      <c r="I3" s="10"/>
      <c r="J3" s="10">
        <v>46239.0</v>
      </c>
      <c r="K3" s="8" t="s">
        <v>22</v>
      </c>
      <c r="L3" s="8" t="s">
        <v>23</v>
      </c>
      <c r="M3" s="8" t="s">
        <v>12</v>
      </c>
      <c r="N3" s="8"/>
      <c r="O3" s="10"/>
      <c r="P3" s="8" t="s">
        <v>104</v>
      </c>
      <c r="Q3" s="8" t="s">
        <v>105</v>
      </c>
      <c r="R3" s="8" t="s">
        <v>106</v>
      </c>
      <c r="S3" s="8" t="s">
        <v>107</v>
      </c>
    </row>
    <row r="4" ht="37.5" customHeight="1">
      <c r="A4" s="8" t="s">
        <v>108</v>
      </c>
      <c r="B4" s="8" t="s">
        <v>49</v>
      </c>
      <c r="C4" s="8" t="s">
        <v>110</v>
      </c>
      <c r="D4" s="8" t="s">
        <v>111</v>
      </c>
      <c r="E4" s="8" t="s">
        <v>112</v>
      </c>
      <c r="F4" s="8" t="s">
        <v>113</v>
      </c>
      <c r="G4" s="8" t="s">
        <v>111</v>
      </c>
      <c r="H4" s="8" t="s">
        <v>114</v>
      </c>
      <c r="I4" s="10"/>
      <c r="J4" s="10">
        <v>46239.0</v>
      </c>
      <c r="K4" s="8" t="s">
        <v>22</v>
      </c>
      <c r="L4" s="8" t="s">
        <v>23</v>
      </c>
      <c r="M4" s="8" t="s">
        <v>20</v>
      </c>
      <c r="N4" s="8"/>
      <c r="O4" s="10"/>
      <c r="P4" s="8" t="s">
        <v>117</v>
      </c>
      <c r="Q4" s="8" t="s">
        <v>118</v>
      </c>
      <c r="R4" s="8" t="s">
        <v>119</v>
      </c>
      <c r="S4" s="8" t="s">
        <v>120</v>
      </c>
    </row>
    <row r="5" ht="37.5" customHeight="1">
      <c r="A5" s="8" t="s">
        <v>121</v>
      </c>
      <c r="B5" s="8" t="s">
        <v>49</v>
      </c>
      <c r="C5" s="8" t="s">
        <v>122</v>
      </c>
      <c r="D5" s="8" t="s">
        <v>111</v>
      </c>
      <c r="E5" s="8" t="s">
        <v>123</v>
      </c>
      <c r="F5" s="8" t="s">
        <v>113</v>
      </c>
      <c r="G5" s="8" t="s">
        <v>111</v>
      </c>
      <c r="H5" s="8" t="s">
        <v>114</v>
      </c>
      <c r="I5" s="10"/>
      <c r="J5" s="10">
        <v>46239.0</v>
      </c>
      <c r="K5" s="8" t="s">
        <v>22</v>
      </c>
      <c r="L5" s="8" t="s">
        <v>23</v>
      </c>
      <c r="M5" s="8" t="s">
        <v>20</v>
      </c>
      <c r="N5" s="8"/>
      <c r="O5" s="10"/>
      <c r="P5" s="8" t="s">
        <v>124</v>
      </c>
      <c r="Q5" s="8" t="s">
        <v>125</v>
      </c>
      <c r="R5" s="8" t="s">
        <v>126</v>
      </c>
      <c r="S5" s="8" t="s">
        <v>127</v>
      </c>
    </row>
    <row r="6" ht="37.5" customHeight="1">
      <c r="A6" s="8" t="s">
        <v>129</v>
      </c>
      <c r="B6" s="8" t="s">
        <v>49</v>
      </c>
      <c r="C6" s="8" t="s">
        <v>130</v>
      </c>
      <c r="D6" s="8" t="s">
        <v>111</v>
      </c>
      <c r="E6" s="8" t="s">
        <v>131</v>
      </c>
      <c r="F6" s="8" t="s">
        <v>113</v>
      </c>
      <c r="G6" s="8" t="s">
        <v>111</v>
      </c>
      <c r="H6" s="8" t="s">
        <v>114</v>
      </c>
      <c r="I6" s="10"/>
      <c r="J6" s="10">
        <v>46239.0</v>
      </c>
      <c r="K6" s="8" t="s">
        <v>22</v>
      </c>
      <c r="L6" s="8" t="s">
        <v>23</v>
      </c>
      <c r="M6" s="8" t="s">
        <v>12</v>
      </c>
      <c r="N6" s="8"/>
      <c r="O6" s="10"/>
      <c r="P6" s="8" t="s">
        <v>135</v>
      </c>
      <c r="Q6" s="8" t="s">
        <v>136</v>
      </c>
      <c r="R6" s="8" t="s">
        <v>126</v>
      </c>
      <c r="S6" s="8" t="s">
        <v>138</v>
      </c>
    </row>
    <row r="7" ht="37.5" customHeight="1">
      <c r="A7" s="8" t="s">
        <v>139</v>
      </c>
      <c r="B7" s="8" t="s">
        <v>49</v>
      </c>
      <c r="C7" s="8" t="s">
        <v>140</v>
      </c>
      <c r="D7" s="8" t="s">
        <v>111</v>
      </c>
      <c r="E7" s="8" t="s">
        <v>141</v>
      </c>
      <c r="F7" s="8" t="s">
        <v>113</v>
      </c>
      <c r="G7" s="8" t="s">
        <v>111</v>
      </c>
      <c r="H7" s="8" t="s">
        <v>114</v>
      </c>
      <c r="I7" s="10"/>
      <c r="J7" s="10">
        <v>46239.0</v>
      </c>
      <c r="K7" s="8" t="s">
        <v>22</v>
      </c>
      <c r="L7" s="8" t="s">
        <v>23</v>
      </c>
      <c r="M7" s="8" t="s">
        <v>12</v>
      </c>
      <c r="N7" s="8"/>
      <c r="O7" s="10"/>
      <c r="P7" s="8" t="s">
        <v>144</v>
      </c>
      <c r="Q7" s="8" t="s">
        <v>136</v>
      </c>
      <c r="R7" s="8" t="s">
        <v>126</v>
      </c>
      <c r="S7" s="8" t="s">
        <v>145</v>
      </c>
    </row>
    <row r="8" ht="37.5" customHeight="1">
      <c r="A8" s="8" t="s">
        <v>146</v>
      </c>
      <c r="B8" s="8" t="s">
        <v>49</v>
      </c>
      <c r="C8" s="8" t="s">
        <v>147</v>
      </c>
      <c r="D8" s="8" t="s">
        <v>111</v>
      </c>
      <c r="E8" s="8" t="s">
        <v>148</v>
      </c>
      <c r="F8" s="8" t="s">
        <v>113</v>
      </c>
      <c r="G8" s="8" t="s">
        <v>111</v>
      </c>
      <c r="H8" s="8" t="s">
        <v>114</v>
      </c>
      <c r="I8" s="10"/>
      <c r="J8" s="10">
        <v>46239.0</v>
      </c>
      <c r="K8" s="8" t="s">
        <v>22</v>
      </c>
      <c r="L8" s="8" t="s">
        <v>23</v>
      </c>
      <c r="M8" s="8" t="s">
        <v>12</v>
      </c>
      <c r="N8" s="8"/>
      <c r="O8" s="10"/>
      <c r="P8" s="8" t="s">
        <v>149</v>
      </c>
      <c r="Q8" s="8" t="s">
        <v>150</v>
      </c>
      <c r="R8" s="8" t="s">
        <v>126</v>
      </c>
      <c r="S8" s="8" t="s">
        <v>151</v>
      </c>
    </row>
    <row r="9" ht="37.5" customHeight="1">
      <c r="A9" s="8" t="s">
        <v>152</v>
      </c>
      <c r="B9" s="8" t="s">
        <v>49</v>
      </c>
      <c r="C9" s="8" t="s">
        <v>153</v>
      </c>
      <c r="D9" s="8" t="s">
        <v>111</v>
      </c>
      <c r="E9" s="8" t="s">
        <v>154</v>
      </c>
      <c r="F9" s="8" t="s">
        <v>113</v>
      </c>
      <c r="G9" s="8" t="s">
        <v>111</v>
      </c>
      <c r="H9" s="8" t="s">
        <v>114</v>
      </c>
      <c r="I9" s="10"/>
      <c r="J9" s="10">
        <v>46239.0</v>
      </c>
      <c r="K9" s="8" t="s">
        <v>22</v>
      </c>
      <c r="L9" s="8" t="s">
        <v>23</v>
      </c>
      <c r="M9" s="8" t="s">
        <v>20</v>
      </c>
      <c r="N9" s="8"/>
      <c r="O9" s="10"/>
      <c r="P9" s="8" t="s">
        <v>155</v>
      </c>
      <c r="Q9" s="8" t="s">
        <v>156</v>
      </c>
      <c r="R9" s="8" t="s">
        <v>126</v>
      </c>
      <c r="S9" s="8" t="s">
        <v>157</v>
      </c>
    </row>
    <row r="10" ht="37.5" customHeight="1">
      <c r="A10" s="8" t="s">
        <v>158</v>
      </c>
      <c r="B10" s="8" t="s">
        <v>49</v>
      </c>
      <c r="C10" s="8" t="s">
        <v>159</v>
      </c>
      <c r="D10" s="8" t="s">
        <v>111</v>
      </c>
      <c r="E10" s="8" t="s">
        <v>160</v>
      </c>
      <c r="F10" s="8" t="s">
        <v>113</v>
      </c>
      <c r="G10" s="8" t="s">
        <v>111</v>
      </c>
      <c r="H10" s="8" t="s">
        <v>114</v>
      </c>
      <c r="I10" s="10"/>
      <c r="J10" s="10">
        <v>46239.0</v>
      </c>
      <c r="K10" s="8" t="s">
        <v>22</v>
      </c>
      <c r="L10" s="8" t="s">
        <v>23</v>
      </c>
      <c r="M10" s="8" t="s">
        <v>20</v>
      </c>
      <c r="N10" s="8"/>
      <c r="O10" s="10"/>
      <c r="P10" s="8" t="s">
        <v>161</v>
      </c>
      <c r="Q10" s="8" t="s">
        <v>162</v>
      </c>
      <c r="R10" s="8" t="s">
        <v>163</v>
      </c>
      <c r="S10" s="8" t="s">
        <v>164</v>
      </c>
    </row>
    <row r="11" ht="37.5" customHeight="1">
      <c r="A11" s="8" t="s">
        <v>165</v>
      </c>
      <c r="B11" s="8" t="s">
        <v>49</v>
      </c>
      <c r="C11" s="8" t="s">
        <v>166</v>
      </c>
      <c r="D11" s="8" t="s">
        <v>167</v>
      </c>
      <c r="E11" s="8" t="s">
        <v>168</v>
      </c>
      <c r="F11" s="8" t="s">
        <v>113</v>
      </c>
      <c r="G11" s="8" t="s">
        <v>111</v>
      </c>
      <c r="H11" s="8" t="s">
        <v>114</v>
      </c>
      <c r="I11" s="10"/>
      <c r="J11" s="10">
        <v>46239.0</v>
      </c>
      <c r="K11" s="8" t="s">
        <v>22</v>
      </c>
      <c r="L11" s="8" t="s">
        <v>23</v>
      </c>
      <c r="M11" s="8" t="s">
        <v>12</v>
      </c>
      <c r="N11" s="8"/>
      <c r="O11" s="10"/>
      <c r="P11" s="8" t="s">
        <v>169</v>
      </c>
      <c r="Q11" s="8" t="s">
        <v>170</v>
      </c>
      <c r="R11" s="8" t="s">
        <v>171</v>
      </c>
      <c r="S11" s="8" t="s">
        <v>172</v>
      </c>
    </row>
    <row r="12" ht="37.5" customHeight="1">
      <c r="A12" s="8" t="s">
        <v>173</v>
      </c>
      <c r="B12" s="8" t="s">
        <v>49</v>
      </c>
      <c r="C12" s="8" t="s">
        <v>174</v>
      </c>
      <c r="D12" s="8" t="s">
        <v>111</v>
      </c>
      <c r="E12" s="8" t="s">
        <v>175</v>
      </c>
      <c r="F12" s="8" t="s">
        <v>113</v>
      </c>
      <c r="G12" s="8" t="s">
        <v>111</v>
      </c>
      <c r="H12" s="8" t="s">
        <v>114</v>
      </c>
      <c r="I12" s="10"/>
      <c r="J12" s="10">
        <v>46239.0</v>
      </c>
      <c r="K12" s="8" t="s">
        <v>22</v>
      </c>
      <c r="L12" s="8" t="s">
        <v>23</v>
      </c>
      <c r="M12" s="8" t="s">
        <v>12</v>
      </c>
      <c r="N12" s="8"/>
      <c r="O12" s="10"/>
      <c r="P12" s="8" t="s">
        <v>176</v>
      </c>
      <c r="Q12" s="8" t="s">
        <v>177</v>
      </c>
      <c r="R12" s="8" t="s">
        <v>119</v>
      </c>
      <c r="S12" s="8" t="s">
        <v>178</v>
      </c>
    </row>
    <row r="13" ht="37.5" customHeight="1">
      <c r="A13" s="8" t="s">
        <v>179</v>
      </c>
      <c r="B13" s="8" t="s">
        <v>49</v>
      </c>
      <c r="C13" s="8" t="s">
        <v>180</v>
      </c>
      <c r="D13" s="8" t="s">
        <v>167</v>
      </c>
      <c r="E13" s="8" t="s">
        <v>181</v>
      </c>
      <c r="F13" s="8" t="s">
        <v>113</v>
      </c>
      <c r="G13" s="8" t="s">
        <v>111</v>
      </c>
      <c r="H13" s="8" t="s">
        <v>114</v>
      </c>
      <c r="I13" s="10"/>
      <c r="J13" s="10">
        <v>46239.0</v>
      </c>
      <c r="K13" s="8" t="s">
        <v>22</v>
      </c>
      <c r="L13" s="8" t="s">
        <v>23</v>
      </c>
      <c r="M13" s="8" t="s">
        <v>20</v>
      </c>
      <c r="N13" s="8"/>
      <c r="O13" s="10"/>
      <c r="P13" s="8" t="s">
        <v>182</v>
      </c>
      <c r="Q13" s="8" t="s">
        <v>183</v>
      </c>
      <c r="R13" s="8" t="s">
        <v>184</v>
      </c>
      <c r="S13" s="8" t="s">
        <v>185</v>
      </c>
    </row>
    <row r="14" ht="37.5" customHeight="1">
      <c r="A14" s="8" t="s">
        <v>186</v>
      </c>
      <c r="B14" s="8" t="s">
        <v>59</v>
      </c>
      <c r="C14" s="8" t="s">
        <v>132</v>
      </c>
      <c r="D14" s="8" t="s">
        <v>187</v>
      </c>
      <c r="E14" s="8" t="s">
        <v>188</v>
      </c>
      <c r="F14" s="8" t="s">
        <v>83</v>
      </c>
      <c r="G14" s="8" t="s">
        <v>189</v>
      </c>
      <c r="H14" s="8" t="s">
        <v>190</v>
      </c>
      <c r="I14" s="10"/>
      <c r="J14" s="10">
        <v>46239.0</v>
      </c>
      <c r="K14" s="8" t="s">
        <v>22</v>
      </c>
      <c r="L14" s="8" t="s">
        <v>23</v>
      </c>
      <c r="M14" s="8" t="s">
        <v>12</v>
      </c>
      <c r="N14" s="8"/>
      <c r="O14" s="10"/>
      <c r="P14" s="8" t="s">
        <v>191</v>
      </c>
      <c r="Q14" s="8" t="s">
        <v>192</v>
      </c>
      <c r="R14" s="8" t="s">
        <v>193</v>
      </c>
      <c r="S14" s="8" t="s">
        <v>194</v>
      </c>
    </row>
    <row r="15" ht="37.5" customHeight="1">
      <c r="A15" s="8" t="s">
        <v>195</v>
      </c>
      <c r="B15" s="8" t="s">
        <v>59</v>
      </c>
      <c r="C15" s="8" t="s">
        <v>132</v>
      </c>
      <c r="D15" s="8" t="s">
        <v>196</v>
      </c>
      <c r="E15" s="8" t="s">
        <v>197</v>
      </c>
      <c r="F15" s="8" t="s">
        <v>83</v>
      </c>
      <c r="G15" s="8" t="s">
        <v>198</v>
      </c>
      <c r="H15" s="8" t="s">
        <v>199</v>
      </c>
      <c r="I15" s="10">
        <v>46107.0</v>
      </c>
      <c r="J15" s="10">
        <v>46239.0</v>
      </c>
      <c r="K15" s="8" t="s">
        <v>22</v>
      </c>
      <c r="L15" s="8" t="s">
        <v>23</v>
      </c>
      <c r="M15" s="8" t="s">
        <v>20</v>
      </c>
      <c r="N15" s="8"/>
      <c r="O15" s="10"/>
      <c r="P15" s="8" t="s">
        <v>200</v>
      </c>
      <c r="Q15" s="8" t="s">
        <v>201</v>
      </c>
      <c r="R15" s="8" t="s">
        <v>202</v>
      </c>
      <c r="S15" s="8" t="s">
        <v>203</v>
      </c>
    </row>
    <row r="16" ht="37.5" customHeight="1">
      <c r="A16" s="8" t="s">
        <v>204</v>
      </c>
      <c r="B16" s="8" t="s">
        <v>25</v>
      </c>
      <c r="C16" s="8" t="s">
        <v>132</v>
      </c>
      <c r="D16" s="8" t="s">
        <v>196</v>
      </c>
      <c r="E16" s="8" t="s">
        <v>205</v>
      </c>
      <c r="F16" s="8" t="s">
        <v>206</v>
      </c>
      <c r="G16" s="8" t="s">
        <v>207</v>
      </c>
      <c r="H16" s="8" t="s">
        <v>208</v>
      </c>
      <c r="I16" s="10"/>
      <c r="J16" s="10">
        <v>46239.0</v>
      </c>
      <c r="K16" s="8" t="s">
        <v>22</v>
      </c>
      <c r="L16" s="8" t="s">
        <v>23</v>
      </c>
      <c r="M16" s="8" t="s">
        <v>20</v>
      </c>
      <c r="N16" s="8"/>
      <c r="O16" s="10"/>
      <c r="P16" s="8" t="s">
        <v>209</v>
      </c>
      <c r="Q16" s="8" t="s">
        <v>210</v>
      </c>
      <c r="R16" s="8" t="s">
        <v>94</v>
      </c>
      <c r="S16" s="8" t="s">
        <v>211</v>
      </c>
    </row>
    <row r="17" ht="37.5" customHeight="1">
      <c r="A17" s="8" t="s">
        <v>212</v>
      </c>
      <c r="B17" s="8" t="s">
        <v>59</v>
      </c>
      <c r="C17" s="8" t="s">
        <v>132</v>
      </c>
      <c r="D17" s="8" t="s">
        <v>213</v>
      </c>
      <c r="E17" s="8" t="s">
        <v>214</v>
      </c>
      <c r="F17" s="8" t="s">
        <v>83</v>
      </c>
      <c r="G17" s="8" t="s">
        <v>215</v>
      </c>
      <c r="H17" s="8" t="s">
        <v>190</v>
      </c>
      <c r="I17" s="10"/>
      <c r="J17" s="10">
        <v>46239.0</v>
      </c>
      <c r="K17" s="8" t="s">
        <v>22</v>
      </c>
      <c r="L17" s="8" t="s">
        <v>23</v>
      </c>
      <c r="M17" s="8" t="s">
        <v>28</v>
      </c>
      <c r="N17" s="8"/>
      <c r="O17" s="10"/>
      <c r="P17" s="8" t="s">
        <v>216</v>
      </c>
      <c r="Q17" s="8" t="s">
        <v>217</v>
      </c>
      <c r="R17" s="8" t="s">
        <v>218</v>
      </c>
      <c r="S17" s="8" t="s">
        <v>219</v>
      </c>
    </row>
    <row r="18" ht="37.5" customHeight="1">
      <c r="A18" s="8" t="s">
        <v>220</v>
      </c>
      <c r="B18" s="8" t="s">
        <v>59</v>
      </c>
      <c r="C18" s="8" t="s">
        <v>132</v>
      </c>
      <c r="D18" s="8" t="s">
        <v>221</v>
      </c>
      <c r="E18" s="8" t="s">
        <v>222</v>
      </c>
      <c r="F18" s="8" t="s">
        <v>223</v>
      </c>
      <c r="G18" s="8" t="s">
        <v>224</v>
      </c>
      <c r="H18" s="8" t="s">
        <v>225</v>
      </c>
      <c r="I18" s="10"/>
      <c r="J18" s="10">
        <v>46239.0</v>
      </c>
      <c r="K18" s="8" t="s">
        <v>22</v>
      </c>
      <c r="L18" s="8" t="s">
        <v>23</v>
      </c>
      <c r="M18" s="8" t="s">
        <v>28</v>
      </c>
      <c r="N18" s="8"/>
      <c r="O18" s="10"/>
      <c r="P18" s="8" t="s">
        <v>226</v>
      </c>
      <c r="Q18" s="8" t="s">
        <v>227</v>
      </c>
      <c r="R18" s="8" t="s">
        <v>228</v>
      </c>
      <c r="S18" s="8" t="s">
        <v>229</v>
      </c>
    </row>
    <row r="19" ht="37.5" customHeight="1">
      <c r="A19" s="8" t="s">
        <v>230</v>
      </c>
      <c r="B19" s="8" t="s">
        <v>59</v>
      </c>
      <c r="C19" s="8" t="s">
        <v>133</v>
      </c>
      <c r="D19" s="8" t="s">
        <v>231</v>
      </c>
      <c r="E19" s="8" t="s">
        <v>232</v>
      </c>
      <c r="F19" s="8" t="s">
        <v>83</v>
      </c>
      <c r="G19" s="8" t="s">
        <v>233</v>
      </c>
      <c r="H19" s="8" t="s">
        <v>234</v>
      </c>
      <c r="I19" s="10"/>
      <c r="J19" s="10">
        <v>46239.0</v>
      </c>
      <c r="K19" s="8" t="s">
        <v>22</v>
      </c>
      <c r="L19" s="8" t="s">
        <v>23</v>
      </c>
      <c r="M19" s="8" t="s">
        <v>12</v>
      </c>
      <c r="N19" s="8"/>
      <c r="O19" s="10"/>
      <c r="P19" s="8" t="s">
        <v>235</v>
      </c>
      <c r="Q19" s="8" t="s">
        <v>236</v>
      </c>
      <c r="R19" s="8" t="s">
        <v>193</v>
      </c>
      <c r="S19" s="8" t="s">
        <v>237</v>
      </c>
    </row>
    <row r="20" ht="37.5" customHeight="1">
      <c r="A20" s="8" t="s">
        <v>238</v>
      </c>
      <c r="B20" s="8" t="s">
        <v>59</v>
      </c>
      <c r="C20" s="8" t="s">
        <v>133</v>
      </c>
      <c r="D20" s="8" t="s">
        <v>239</v>
      </c>
      <c r="E20" s="8" t="s">
        <v>240</v>
      </c>
      <c r="F20" s="8" t="s">
        <v>223</v>
      </c>
      <c r="G20" s="8" t="s">
        <v>241</v>
      </c>
      <c r="H20" s="8" t="s">
        <v>242</v>
      </c>
      <c r="I20" s="10"/>
      <c r="J20" s="10">
        <v>46239.0</v>
      </c>
      <c r="K20" s="8" t="s">
        <v>22</v>
      </c>
      <c r="L20" s="8" t="s">
        <v>23</v>
      </c>
      <c r="M20" s="8" t="s">
        <v>20</v>
      </c>
      <c r="N20" s="8"/>
      <c r="O20" s="10"/>
      <c r="P20" s="8" t="s">
        <v>243</v>
      </c>
      <c r="Q20" s="8" t="s">
        <v>244</v>
      </c>
      <c r="R20" s="8" t="s">
        <v>245</v>
      </c>
      <c r="S20" s="8" t="s">
        <v>246</v>
      </c>
    </row>
    <row r="21" ht="37.5" customHeight="1">
      <c r="A21" s="8" t="s">
        <v>247</v>
      </c>
      <c r="B21" s="8" t="s">
        <v>59</v>
      </c>
      <c r="C21" s="8" t="s">
        <v>133</v>
      </c>
      <c r="D21" s="8" t="s">
        <v>248</v>
      </c>
      <c r="E21" s="8" t="s">
        <v>249</v>
      </c>
      <c r="F21" s="8" t="s">
        <v>223</v>
      </c>
      <c r="G21" s="8" t="s">
        <v>241</v>
      </c>
      <c r="H21" s="8" t="s">
        <v>242</v>
      </c>
      <c r="I21" s="10"/>
      <c r="J21" s="10">
        <v>46239.0</v>
      </c>
      <c r="K21" s="8" t="s">
        <v>22</v>
      </c>
      <c r="L21" s="8" t="s">
        <v>23</v>
      </c>
      <c r="M21" s="8" t="s">
        <v>20</v>
      </c>
      <c r="N21" s="8"/>
      <c r="O21" s="10"/>
      <c r="P21" s="8" t="s">
        <v>250</v>
      </c>
      <c r="Q21" s="8" t="s">
        <v>251</v>
      </c>
      <c r="R21" s="8" t="s">
        <v>252</v>
      </c>
      <c r="S21" s="8" t="s">
        <v>253</v>
      </c>
    </row>
    <row r="22" ht="37.5" customHeight="1">
      <c r="A22" s="8" t="s">
        <v>254</v>
      </c>
      <c r="B22" s="8" t="s">
        <v>59</v>
      </c>
      <c r="C22" s="8" t="s">
        <v>133</v>
      </c>
      <c r="D22" s="8" t="s">
        <v>187</v>
      </c>
      <c r="E22" s="8" t="s">
        <v>255</v>
      </c>
      <c r="F22" s="8" t="s">
        <v>223</v>
      </c>
      <c r="G22" s="8" t="s">
        <v>241</v>
      </c>
      <c r="H22" s="8" t="s">
        <v>242</v>
      </c>
      <c r="I22" s="10"/>
      <c r="J22" s="10">
        <v>46239.0</v>
      </c>
      <c r="K22" s="8" t="s">
        <v>22</v>
      </c>
      <c r="L22" s="8" t="s">
        <v>23</v>
      </c>
      <c r="M22" s="8" t="s">
        <v>12</v>
      </c>
      <c r="N22" s="8"/>
      <c r="O22" s="10"/>
      <c r="P22" s="8" t="s">
        <v>256</v>
      </c>
      <c r="Q22" s="8" t="s">
        <v>257</v>
      </c>
      <c r="R22" s="8" t="s">
        <v>258</v>
      </c>
      <c r="S22" s="8" t="s">
        <v>259</v>
      </c>
    </row>
    <row r="23" ht="37.5" customHeight="1">
      <c r="A23" s="8" t="s">
        <v>260</v>
      </c>
      <c r="B23" s="8" t="s">
        <v>59</v>
      </c>
      <c r="C23" s="8" t="s">
        <v>133</v>
      </c>
      <c r="D23" s="8" t="s">
        <v>187</v>
      </c>
      <c r="E23" s="8" t="s">
        <v>261</v>
      </c>
      <c r="F23" s="8" t="s">
        <v>223</v>
      </c>
      <c r="G23" s="8" t="s">
        <v>241</v>
      </c>
      <c r="H23" s="8" t="s">
        <v>242</v>
      </c>
      <c r="I23" s="10"/>
      <c r="J23" s="10">
        <v>46239.0</v>
      </c>
      <c r="K23" s="8" t="s">
        <v>22</v>
      </c>
      <c r="L23" s="8" t="s">
        <v>23</v>
      </c>
      <c r="M23" s="8" t="s">
        <v>12</v>
      </c>
      <c r="N23" s="8"/>
      <c r="O23" s="10"/>
      <c r="P23" s="8" t="s">
        <v>262</v>
      </c>
      <c r="Q23" s="8" t="s">
        <v>257</v>
      </c>
      <c r="R23" s="8" t="s">
        <v>258</v>
      </c>
      <c r="S23" s="8" t="s">
        <v>259</v>
      </c>
    </row>
    <row r="24" ht="37.5" customHeight="1">
      <c r="A24" s="8" t="s">
        <v>263</v>
      </c>
      <c r="B24" s="8" t="s">
        <v>59</v>
      </c>
      <c r="C24" s="8" t="s">
        <v>133</v>
      </c>
      <c r="D24" s="8" t="s">
        <v>187</v>
      </c>
      <c r="E24" s="8" t="s">
        <v>264</v>
      </c>
      <c r="F24" s="8" t="s">
        <v>223</v>
      </c>
      <c r="G24" s="8" t="s">
        <v>241</v>
      </c>
      <c r="H24" s="8" t="s">
        <v>242</v>
      </c>
      <c r="I24" s="10"/>
      <c r="J24" s="10">
        <v>46239.0</v>
      </c>
      <c r="K24" s="8" t="s">
        <v>22</v>
      </c>
      <c r="L24" s="8" t="s">
        <v>23</v>
      </c>
      <c r="M24" s="8" t="s">
        <v>20</v>
      </c>
      <c r="N24" s="8"/>
      <c r="O24" s="10"/>
      <c r="P24" s="8" t="s">
        <v>265</v>
      </c>
      <c r="Q24" s="8" t="s">
        <v>266</v>
      </c>
      <c r="R24" s="8" t="s">
        <v>267</v>
      </c>
      <c r="S24" s="8" t="s">
        <v>268</v>
      </c>
    </row>
    <row r="25" ht="37.5" customHeight="1">
      <c r="A25" s="8" t="s">
        <v>269</v>
      </c>
      <c r="B25" s="8" t="s">
        <v>59</v>
      </c>
      <c r="C25" s="8" t="s">
        <v>133</v>
      </c>
      <c r="D25" s="8" t="s">
        <v>187</v>
      </c>
      <c r="E25" s="8" t="s">
        <v>270</v>
      </c>
      <c r="F25" s="8" t="s">
        <v>223</v>
      </c>
      <c r="G25" s="8" t="s">
        <v>241</v>
      </c>
      <c r="H25" s="8" t="s">
        <v>242</v>
      </c>
      <c r="I25" s="10"/>
      <c r="J25" s="10">
        <v>46239.0</v>
      </c>
      <c r="K25" s="8" t="s">
        <v>22</v>
      </c>
      <c r="L25" s="8" t="s">
        <v>23</v>
      </c>
      <c r="M25" s="8" t="s">
        <v>20</v>
      </c>
      <c r="N25" s="8"/>
      <c r="O25" s="10"/>
      <c r="P25" s="8" t="s">
        <v>271</v>
      </c>
      <c r="Q25" s="8" t="s">
        <v>272</v>
      </c>
      <c r="R25" s="8" t="s">
        <v>273</v>
      </c>
      <c r="S25" s="8" t="s">
        <v>259</v>
      </c>
    </row>
    <row r="26" ht="37.5" customHeight="1">
      <c r="A26" s="8" t="s">
        <v>274</v>
      </c>
      <c r="B26" s="8" t="s">
        <v>59</v>
      </c>
      <c r="C26" s="8" t="s">
        <v>133</v>
      </c>
      <c r="D26" s="8" t="s">
        <v>221</v>
      </c>
      <c r="E26" s="8" t="s">
        <v>275</v>
      </c>
      <c r="F26" s="8" t="s">
        <v>223</v>
      </c>
      <c r="G26" s="8" t="s">
        <v>241</v>
      </c>
      <c r="H26" s="8" t="s">
        <v>242</v>
      </c>
      <c r="I26" s="10"/>
      <c r="J26" s="10">
        <v>46239.0</v>
      </c>
      <c r="K26" s="8" t="s">
        <v>22</v>
      </c>
      <c r="L26" s="8" t="s">
        <v>23</v>
      </c>
      <c r="M26" s="8" t="s">
        <v>20</v>
      </c>
      <c r="N26" s="8"/>
      <c r="O26" s="10"/>
      <c r="P26" s="8" t="s">
        <v>276</v>
      </c>
      <c r="Q26" s="8" t="s">
        <v>257</v>
      </c>
      <c r="R26" s="8" t="s">
        <v>258</v>
      </c>
      <c r="S26" s="8" t="s">
        <v>277</v>
      </c>
    </row>
    <row r="27" ht="37.5" customHeight="1">
      <c r="A27" s="8" t="s">
        <v>278</v>
      </c>
      <c r="B27" s="8" t="s">
        <v>59</v>
      </c>
      <c r="C27" s="8" t="s">
        <v>133</v>
      </c>
      <c r="D27" s="8" t="s">
        <v>221</v>
      </c>
      <c r="E27" s="8" t="s">
        <v>279</v>
      </c>
      <c r="F27" s="8" t="s">
        <v>223</v>
      </c>
      <c r="G27" s="8" t="s">
        <v>241</v>
      </c>
      <c r="H27" s="8" t="s">
        <v>242</v>
      </c>
      <c r="I27" s="10"/>
      <c r="J27" s="10">
        <v>46239.0</v>
      </c>
      <c r="K27" s="8" t="s">
        <v>22</v>
      </c>
      <c r="L27" s="8" t="s">
        <v>23</v>
      </c>
      <c r="M27" s="8" t="s">
        <v>12</v>
      </c>
      <c r="N27" s="8"/>
      <c r="O27" s="10"/>
      <c r="P27" s="8" t="s">
        <v>280</v>
      </c>
      <c r="Q27" s="8" t="s">
        <v>257</v>
      </c>
      <c r="R27" s="8" t="s">
        <v>94</v>
      </c>
      <c r="S27" s="8" t="s">
        <v>281</v>
      </c>
    </row>
    <row r="28" ht="37.5" customHeight="1">
      <c r="A28" s="8" t="s">
        <v>282</v>
      </c>
      <c r="B28" s="8" t="s">
        <v>33</v>
      </c>
      <c r="C28" s="8" t="s">
        <v>133</v>
      </c>
      <c r="D28" s="8" t="s">
        <v>283</v>
      </c>
      <c r="E28" s="8" t="s">
        <v>284</v>
      </c>
      <c r="F28" s="8" t="s">
        <v>83</v>
      </c>
      <c r="G28" s="8" t="s">
        <v>285</v>
      </c>
      <c r="H28" s="8" t="s">
        <v>286</v>
      </c>
      <c r="I28" s="10"/>
      <c r="J28" s="10">
        <v>46239.0</v>
      </c>
      <c r="K28" s="8" t="s">
        <v>22</v>
      </c>
      <c r="L28" s="8" t="s">
        <v>40</v>
      </c>
      <c r="M28" s="8" t="s">
        <v>12</v>
      </c>
      <c r="N28" s="8"/>
      <c r="O28" s="10"/>
      <c r="P28" s="8" t="s">
        <v>287</v>
      </c>
      <c r="Q28" s="8" t="s">
        <v>288</v>
      </c>
      <c r="R28" s="8" t="s">
        <v>193</v>
      </c>
      <c r="S28" s="8" t="s">
        <v>289</v>
      </c>
    </row>
    <row r="29" ht="37.5" customHeight="1">
      <c r="A29" s="8" t="s">
        <v>290</v>
      </c>
      <c r="B29" s="8" t="s">
        <v>59</v>
      </c>
      <c r="C29" s="8" t="s">
        <v>134</v>
      </c>
      <c r="D29" s="8" t="s">
        <v>283</v>
      </c>
      <c r="E29" s="8" t="s">
        <v>291</v>
      </c>
      <c r="F29" s="8" t="s">
        <v>83</v>
      </c>
      <c r="G29" s="8" t="s">
        <v>292</v>
      </c>
      <c r="H29" s="8" t="s">
        <v>293</v>
      </c>
      <c r="I29" s="10"/>
      <c r="J29" s="10">
        <v>46239.0</v>
      </c>
      <c r="K29" s="8" t="s">
        <v>22</v>
      </c>
      <c r="L29" s="8" t="s">
        <v>23</v>
      </c>
      <c r="M29" s="8" t="s">
        <v>20</v>
      </c>
      <c r="N29" s="8"/>
      <c r="O29" s="10"/>
      <c r="P29" s="8" t="s">
        <v>294</v>
      </c>
      <c r="Q29" s="8" t="s">
        <v>236</v>
      </c>
      <c r="R29" s="8" t="s">
        <v>193</v>
      </c>
      <c r="S29" s="8" t="s">
        <v>237</v>
      </c>
    </row>
    <row r="30" ht="37.5" customHeight="1">
      <c r="A30" s="8" t="s">
        <v>295</v>
      </c>
      <c r="B30" s="8" t="s">
        <v>59</v>
      </c>
      <c r="C30" s="8" t="s">
        <v>134</v>
      </c>
      <c r="D30" s="8" t="s">
        <v>213</v>
      </c>
      <c r="E30" s="8" t="s">
        <v>296</v>
      </c>
      <c r="F30" s="8" t="s">
        <v>223</v>
      </c>
      <c r="G30" s="8" t="s">
        <v>297</v>
      </c>
      <c r="H30" s="8" t="s">
        <v>298</v>
      </c>
      <c r="I30" s="10"/>
      <c r="J30" s="10">
        <v>46239.0</v>
      </c>
      <c r="K30" s="8" t="s">
        <v>22</v>
      </c>
      <c r="L30" s="8" t="s">
        <v>23</v>
      </c>
      <c r="M30" s="8" t="s">
        <v>20</v>
      </c>
      <c r="N30" s="8"/>
      <c r="O30" s="10"/>
      <c r="P30" s="8" t="s">
        <v>299</v>
      </c>
      <c r="Q30" s="8" t="s">
        <v>257</v>
      </c>
      <c r="R30" s="8" t="s">
        <v>218</v>
      </c>
      <c r="S30" s="8" t="s">
        <v>300</v>
      </c>
    </row>
    <row r="31" ht="37.5" customHeight="1">
      <c r="A31" s="8" t="s">
        <v>301</v>
      </c>
      <c r="B31" s="8" t="s">
        <v>59</v>
      </c>
      <c r="C31" s="8" t="s">
        <v>134</v>
      </c>
      <c r="D31" s="8" t="s">
        <v>213</v>
      </c>
      <c r="E31" s="8" t="s">
        <v>302</v>
      </c>
      <c r="F31" s="8" t="s">
        <v>223</v>
      </c>
      <c r="G31" s="8" t="s">
        <v>297</v>
      </c>
      <c r="H31" s="8" t="s">
        <v>298</v>
      </c>
      <c r="I31" s="10"/>
      <c r="J31" s="10">
        <v>46239.0</v>
      </c>
      <c r="K31" s="8" t="s">
        <v>22</v>
      </c>
      <c r="L31" s="8" t="s">
        <v>23</v>
      </c>
      <c r="M31" s="8" t="s">
        <v>12</v>
      </c>
      <c r="N31" s="8"/>
      <c r="O31" s="10"/>
      <c r="P31" s="8" t="s">
        <v>303</v>
      </c>
      <c r="Q31" s="8" t="s">
        <v>304</v>
      </c>
      <c r="R31" s="8" t="s">
        <v>218</v>
      </c>
      <c r="S31" s="8" t="s">
        <v>300</v>
      </c>
    </row>
    <row r="32" ht="37.5" customHeight="1">
      <c r="A32" s="8" t="s">
        <v>305</v>
      </c>
      <c r="B32" s="8" t="s">
        <v>59</v>
      </c>
      <c r="C32" s="8" t="s">
        <v>134</v>
      </c>
      <c r="D32" s="8" t="s">
        <v>187</v>
      </c>
      <c r="E32" s="8" t="s">
        <v>306</v>
      </c>
      <c r="F32" s="8" t="s">
        <v>223</v>
      </c>
      <c r="G32" s="8" t="s">
        <v>297</v>
      </c>
      <c r="H32" s="8" t="s">
        <v>298</v>
      </c>
      <c r="I32" s="10"/>
      <c r="J32" s="10">
        <v>46239.0</v>
      </c>
      <c r="K32" s="8" t="s">
        <v>22</v>
      </c>
      <c r="L32" s="8" t="s">
        <v>23</v>
      </c>
      <c r="M32" s="8" t="s">
        <v>20</v>
      </c>
      <c r="N32" s="8"/>
      <c r="O32" s="10"/>
      <c r="P32" s="8" t="s">
        <v>307</v>
      </c>
      <c r="Q32" s="8" t="s">
        <v>308</v>
      </c>
      <c r="R32" s="8" t="s">
        <v>309</v>
      </c>
      <c r="S32" s="8" t="s">
        <v>310</v>
      </c>
    </row>
    <row r="33" ht="37.5" customHeight="1">
      <c r="A33" s="8" t="s">
        <v>311</v>
      </c>
      <c r="B33" s="8" t="s">
        <v>59</v>
      </c>
      <c r="C33" s="8" t="s">
        <v>134</v>
      </c>
      <c r="D33" s="8" t="s">
        <v>187</v>
      </c>
      <c r="E33" s="8" t="s">
        <v>312</v>
      </c>
      <c r="F33" s="8" t="s">
        <v>223</v>
      </c>
      <c r="G33" s="8" t="s">
        <v>297</v>
      </c>
      <c r="H33" s="8" t="s">
        <v>298</v>
      </c>
      <c r="I33" s="10"/>
      <c r="J33" s="10">
        <v>46239.0</v>
      </c>
      <c r="K33" s="8" t="s">
        <v>22</v>
      </c>
      <c r="L33" s="8" t="s">
        <v>23</v>
      </c>
      <c r="M33" s="8" t="s">
        <v>20</v>
      </c>
      <c r="N33" s="8"/>
      <c r="O33" s="10"/>
      <c r="P33" s="8" t="s">
        <v>313</v>
      </c>
      <c r="Q33" s="8" t="s">
        <v>257</v>
      </c>
      <c r="R33" s="8" t="s">
        <v>258</v>
      </c>
      <c r="S33" s="8" t="s">
        <v>314</v>
      </c>
    </row>
    <row r="34" ht="37.5" customHeight="1">
      <c r="A34" s="8" t="s">
        <v>315</v>
      </c>
      <c r="B34" s="8" t="s">
        <v>59</v>
      </c>
      <c r="C34" s="8" t="s">
        <v>316</v>
      </c>
      <c r="D34" s="8" t="s">
        <v>187</v>
      </c>
      <c r="E34" s="8" t="s">
        <v>317</v>
      </c>
      <c r="F34" s="8" t="s">
        <v>223</v>
      </c>
      <c r="G34" s="8" t="s">
        <v>297</v>
      </c>
      <c r="H34" s="8" t="s">
        <v>298</v>
      </c>
      <c r="I34" s="10"/>
      <c r="J34" s="10">
        <v>46239.0</v>
      </c>
      <c r="K34" s="8" t="s">
        <v>22</v>
      </c>
      <c r="L34" s="8" t="s">
        <v>23</v>
      </c>
      <c r="M34" s="8" t="s">
        <v>20</v>
      </c>
      <c r="N34" s="8"/>
      <c r="O34" s="10"/>
      <c r="P34" s="8" t="s">
        <v>318</v>
      </c>
      <c r="Q34" s="8" t="s">
        <v>319</v>
      </c>
      <c r="R34" s="8" t="s">
        <v>320</v>
      </c>
      <c r="S34" s="8" t="s">
        <v>321</v>
      </c>
    </row>
    <row r="35" ht="37.5" customHeight="1">
      <c r="A35" s="8" t="s">
        <v>322</v>
      </c>
      <c r="B35" s="8" t="s">
        <v>59</v>
      </c>
      <c r="C35" s="8" t="s">
        <v>134</v>
      </c>
      <c r="D35" s="8" t="s">
        <v>187</v>
      </c>
      <c r="E35" s="8" t="s">
        <v>323</v>
      </c>
      <c r="F35" s="8" t="s">
        <v>223</v>
      </c>
      <c r="G35" s="8" t="s">
        <v>297</v>
      </c>
      <c r="H35" s="8" t="s">
        <v>298</v>
      </c>
      <c r="I35" s="10"/>
      <c r="J35" s="10">
        <v>46239.0</v>
      </c>
      <c r="K35" s="8" t="s">
        <v>22</v>
      </c>
      <c r="L35" s="8" t="s">
        <v>23</v>
      </c>
      <c r="M35" s="8" t="s">
        <v>12</v>
      </c>
      <c r="N35" s="8"/>
      <c r="O35" s="10"/>
      <c r="P35" s="8" t="s">
        <v>324</v>
      </c>
      <c r="Q35" s="8" t="s">
        <v>257</v>
      </c>
      <c r="R35" s="8" t="s">
        <v>320</v>
      </c>
      <c r="S35" s="8" t="s">
        <v>325</v>
      </c>
    </row>
    <row r="36" ht="37.5" customHeight="1">
      <c r="A36" s="8" t="s">
        <v>326</v>
      </c>
      <c r="B36" s="8" t="s">
        <v>59</v>
      </c>
      <c r="C36" s="8" t="s">
        <v>137</v>
      </c>
      <c r="D36" s="8" t="s">
        <v>283</v>
      </c>
      <c r="E36" s="8" t="s">
        <v>327</v>
      </c>
      <c r="F36" s="8" t="s">
        <v>83</v>
      </c>
      <c r="G36" s="8" t="s">
        <v>328</v>
      </c>
      <c r="H36" s="8" t="s">
        <v>329</v>
      </c>
      <c r="I36" s="10"/>
      <c r="J36" s="10">
        <v>46239.0</v>
      </c>
      <c r="K36" s="8" t="s">
        <v>22</v>
      </c>
      <c r="L36" s="8" t="s">
        <v>23</v>
      </c>
      <c r="M36" s="8" t="s">
        <v>12</v>
      </c>
      <c r="N36" s="8"/>
      <c r="O36" s="10"/>
      <c r="P36" s="8" t="s">
        <v>330</v>
      </c>
      <c r="Q36" s="8" t="s">
        <v>236</v>
      </c>
      <c r="R36" s="8" t="s">
        <v>193</v>
      </c>
      <c r="S36" s="8" t="s">
        <v>237</v>
      </c>
    </row>
    <row r="37" ht="37.5" customHeight="1">
      <c r="A37" s="8" t="s">
        <v>331</v>
      </c>
      <c r="B37" s="8" t="s">
        <v>59</v>
      </c>
      <c r="C37" s="8" t="s">
        <v>137</v>
      </c>
      <c r="D37" s="8" t="s">
        <v>283</v>
      </c>
      <c r="E37" s="8" t="s">
        <v>332</v>
      </c>
      <c r="F37" s="8" t="s">
        <v>223</v>
      </c>
      <c r="G37" s="8" t="s">
        <v>137</v>
      </c>
      <c r="H37" s="8" t="s">
        <v>333</v>
      </c>
      <c r="I37" s="10"/>
      <c r="J37" s="10">
        <v>46239.0</v>
      </c>
      <c r="K37" s="8" t="s">
        <v>22</v>
      </c>
      <c r="L37" s="8" t="s">
        <v>23</v>
      </c>
      <c r="M37" s="8" t="s">
        <v>12</v>
      </c>
      <c r="N37" s="8"/>
      <c r="O37" s="10"/>
      <c r="P37" s="8" t="s">
        <v>334</v>
      </c>
      <c r="Q37" s="8" t="s">
        <v>335</v>
      </c>
      <c r="R37" s="8" t="s">
        <v>336</v>
      </c>
      <c r="S37" s="8" t="s">
        <v>337</v>
      </c>
    </row>
    <row r="38" ht="37.5" customHeight="1">
      <c r="A38" s="8" t="s">
        <v>338</v>
      </c>
      <c r="B38" s="8" t="s">
        <v>59</v>
      </c>
      <c r="C38" s="8" t="s">
        <v>137</v>
      </c>
      <c r="D38" s="8" t="s">
        <v>221</v>
      </c>
      <c r="E38" s="8" t="s">
        <v>339</v>
      </c>
      <c r="F38" s="8" t="s">
        <v>83</v>
      </c>
      <c r="G38" s="8" t="s">
        <v>340</v>
      </c>
      <c r="H38" s="8" t="s">
        <v>329</v>
      </c>
      <c r="I38" s="10"/>
      <c r="J38" s="10">
        <v>46239.0</v>
      </c>
      <c r="K38" s="8" t="s">
        <v>22</v>
      </c>
      <c r="L38" s="8" t="s">
        <v>31</v>
      </c>
      <c r="M38" s="8" t="s">
        <v>28</v>
      </c>
      <c r="N38" s="8"/>
      <c r="O38" s="10"/>
      <c r="P38" s="8" t="s">
        <v>341</v>
      </c>
      <c r="Q38" s="8" t="s">
        <v>342</v>
      </c>
      <c r="R38" s="8" t="s">
        <v>343</v>
      </c>
      <c r="S38" s="8" t="s">
        <v>344</v>
      </c>
    </row>
    <row r="39" ht="37.5" customHeight="1">
      <c r="A39" s="8" t="s">
        <v>345</v>
      </c>
      <c r="B39" s="8" t="s">
        <v>55</v>
      </c>
      <c r="C39" s="8" t="s">
        <v>346</v>
      </c>
      <c r="D39" s="8" t="s">
        <v>111</v>
      </c>
      <c r="E39" s="8" t="s">
        <v>347</v>
      </c>
      <c r="F39" s="8" t="s">
        <v>113</v>
      </c>
      <c r="G39" s="8" t="s">
        <v>111</v>
      </c>
      <c r="H39" s="8" t="s">
        <v>114</v>
      </c>
      <c r="I39" s="10"/>
      <c r="J39" s="10">
        <v>46239.0</v>
      </c>
      <c r="K39" s="8" t="s">
        <v>22</v>
      </c>
      <c r="L39" s="8" t="s">
        <v>23</v>
      </c>
      <c r="M39" s="8" t="s">
        <v>20</v>
      </c>
      <c r="N39" s="8"/>
      <c r="O39" s="10"/>
      <c r="P39" s="8" t="s">
        <v>348</v>
      </c>
      <c r="Q39" s="8" t="s">
        <v>349</v>
      </c>
      <c r="R39" s="8" t="s">
        <v>350</v>
      </c>
      <c r="S39" s="8" t="s">
        <v>351</v>
      </c>
    </row>
    <row r="40" ht="37.5" customHeight="1">
      <c r="A40" s="8" t="s">
        <v>352</v>
      </c>
      <c r="B40" s="8" t="s">
        <v>55</v>
      </c>
      <c r="C40" s="8" t="s">
        <v>353</v>
      </c>
      <c r="D40" s="8" t="s">
        <v>111</v>
      </c>
      <c r="E40" s="8" t="s">
        <v>354</v>
      </c>
      <c r="F40" s="8" t="s">
        <v>113</v>
      </c>
      <c r="G40" s="8" t="s">
        <v>111</v>
      </c>
      <c r="H40" s="8" t="s">
        <v>114</v>
      </c>
      <c r="I40" s="10"/>
      <c r="J40" s="10">
        <v>46239.0</v>
      </c>
      <c r="K40" s="8" t="s">
        <v>22</v>
      </c>
      <c r="L40" s="8" t="s">
        <v>23</v>
      </c>
      <c r="M40" s="8" t="s">
        <v>20</v>
      </c>
      <c r="N40" s="8"/>
      <c r="O40" s="10"/>
      <c r="P40" s="8" t="s">
        <v>355</v>
      </c>
      <c r="Q40" s="8" t="s">
        <v>356</v>
      </c>
      <c r="R40" s="8" t="s">
        <v>350</v>
      </c>
      <c r="S40" s="8" t="s">
        <v>357</v>
      </c>
    </row>
    <row r="41" ht="37.5" customHeight="1">
      <c r="A41" s="8" t="s">
        <v>358</v>
      </c>
      <c r="B41" s="8" t="s">
        <v>55</v>
      </c>
      <c r="C41" s="8" t="s">
        <v>359</v>
      </c>
      <c r="D41" s="8" t="s">
        <v>111</v>
      </c>
      <c r="E41" s="8" t="s">
        <v>360</v>
      </c>
      <c r="F41" s="8" t="s">
        <v>113</v>
      </c>
      <c r="G41" s="8" t="s">
        <v>111</v>
      </c>
      <c r="H41" s="8" t="s">
        <v>114</v>
      </c>
      <c r="I41" s="10"/>
      <c r="J41" s="10">
        <v>46239.0</v>
      </c>
      <c r="K41" s="8" t="s">
        <v>22</v>
      </c>
      <c r="L41" s="8" t="s">
        <v>23</v>
      </c>
      <c r="M41" s="8" t="s">
        <v>20</v>
      </c>
      <c r="N41" s="8"/>
      <c r="O41" s="10"/>
      <c r="P41" s="8" t="s">
        <v>361</v>
      </c>
      <c r="Q41" s="8" t="s">
        <v>362</v>
      </c>
      <c r="R41" s="8" t="s">
        <v>363</v>
      </c>
      <c r="S41" s="8" t="s">
        <v>364</v>
      </c>
    </row>
    <row r="42" ht="37.5" customHeight="1">
      <c r="A42" s="8" t="s">
        <v>365</v>
      </c>
      <c r="B42" s="8" t="s">
        <v>42</v>
      </c>
      <c r="C42" s="8" t="s">
        <v>142</v>
      </c>
      <c r="D42" s="8" t="s">
        <v>366</v>
      </c>
      <c r="E42" s="8" t="s">
        <v>367</v>
      </c>
      <c r="F42" s="8" t="s">
        <v>368</v>
      </c>
      <c r="G42" s="8" t="s">
        <v>369</v>
      </c>
      <c r="H42" s="8" t="s">
        <v>370</v>
      </c>
      <c r="I42" s="10">
        <v>46210.0</v>
      </c>
      <c r="J42" s="10">
        <v>46239.0</v>
      </c>
      <c r="K42" s="8" t="s">
        <v>22</v>
      </c>
      <c r="L42" s="8" t="s">
        <v>47</v>
      </c>
      <c r="M42" s="8" t="s">
        <v>54</v>
      </c>
      <c r="N42" s="8"/>
      <c r="O42" s="10"/>
      <c r="P42" s="8" t="s">
        <v>371</v>
      </c>
      <c r="Q42" s="8" t="s">
        <v>372</v>
      </c>
      <c r="R42" s="8" t="s">
        <v>373</v>
      </c>
      <c r="S42" s="8" t="s">
        <v>374</v>
      </c>
    </row>
    <row r="43" ht="15.75" customHeight="1">
      <c r="B43" s="32"/>
      <c r="K43" s="32"/>
      <c r="L43" s="32"/>
      <c r="M43" s="32"/>
    </row>
    <row r="44" ht="15.75" customHeight="1">
      <c r="B44" s="32"/>
      <c r="K44" s="32"/>
      <c r="L44" s="32"/>
      <c r="M44" s="32"/>
    </row>
    <row r="45" ht="15.75" customHeight="1">
      <c r="B45" s="32"/>
      <c r="K45" s="32"/>
      <c r="L45" s="32"/>
      <c r="M45" s="32"/>
    </row>
    <row r="46" ht="15.75" customHeight="1">
      <c r="B46" s="32"/>
      <c r="K46" s="32"/>
      <c r="L46" s="32"/>
      <c r="M46" s="32"/>
    </row>
    <row r="47" ht="15.75" customHeight="1">
      <c r="B47" s="32"/>
      <c r="K47" s="32"/>
      <c r="L47" s="32"/>
      <c r="M47" s="32"/>
    </row>
    <row r="48" ht="15.75" customHeight="1">
      <c r="B48" s="32"/>
      <c r="K48" s="32"/>
      <c r="L48" s="32"/>
      <c r="M48" s="32"/>
    </row>
    <row r="49" ht="15.75" customHeight="1">
      <c r="B49" s="32"/>
      <c r="K49" s="32"/>
      <c r="L49" s="32"/>
      <c r="M49" s="32"/>
    </row>
    <row r="50" ht="15.75" customHeight="1">
      <c r="B50" s="32"/>
      <c r="K50" s="32"/>
      <c r="L50" s="32"/>
      <c r="M50" s="32"/>
    </row>
    <row r="51" ht="15.75" customHeight="1">
      <c r="B51" s="32"/>
      <c r="K51" s="32"/>
      <c r="L51" s="32"/>
      <c r="M51" s="32"/>
    </row>
    <row r="52" ht="15.75" customHeight="1">
      <c r="B52" s="32"/>
      <c r="K52" s="32"/>
      <c r="L52" s="32"/>
      <c r="M52" s="32"/>
    </row>
    <row r="53" ht="15.75" customHeight="1">
      <c r="B53" s="32"/>
      <c r="K53" s="32"/>
      <c r="L53" s="32"/>
      <c r="M53" s="32"/>
    </row>
    <row r="54" ht="15.75" customHeight="1">
      <c r="B54" s="32"/>
      <c r="K54" s="32"/>
      <c r="L54" s="32"/>
      <c r="M54" s="32"/>
    </row>
    <row r="55" ht="15.75" customHeight="1">
      <c r="B55" s="32"/>
      <c r="K55" s="32"/>
      <c r="L55" s="32"/>
      <c r="M55" s="32"/>
    </row>
    <row r="56" ht="15.75" customHeight="1">
      <c r="B56" s="32"/>
      <c r="K56" s="32"/>
      <c r="L56" s="32"/>
      <c r="M56" s="32"/>
    </row>
    <row r="57" ht="15.75" customHeight="1">
      <c r="B57" s="32"/>
      <c r="K57" s="32"/>
      <c r="L57" s="32"/>
      <c r="M57" s="32"/>
    </row>
    <row r="58" ht="15.75" customHeight="1">
      <c r="B58" s="32"/>
      <c r="K58" s="32"/>
      <c r="L58" s="32"/>
      <c r="M58" s="32"/>
    </row>
    <row r="59" ht="15.75" customHeight="1">
      <c r="B59" s="32"/>
      <c r="K59" s="32"/>
      <c r="L59" s="32"/>
      <c r="M59" s="32"/>
    </row>
    <row r="60" ht="15.75" customHeight="1">
      <c r="B60" s="32"/>
      <c r="K60" s="32"/>
      <c r="L60" s="32"/>
      <c r="M60" s="32"/>
    </row>
    <row r="61" ht="15.75" customHeight="1">
      <c r="B61" s="32"/>
      <c r="K61" s="32"/>
      <c r="L61" s="32"/>
      <c r="M61" s="32"/>
    </row>
    <row r="62" ht="15.75" customHeight="1">
      <c r="B62" s="32"/>
      <c r="K62" s="32"/>
      <c r="L62" s="32"/>
      <c r="M62" s="32"/>
    </row>
    <row r="63" ht="15.75" customHeight="1">
      <c r="B63" s="32"/>
      <c r="K63" s="32"/>
      <c r="L63" s="32"/>
      <c r="M63" s="32"/>
    </row>
    <row r="64" ht="15.75" customHeight="1">
      <c r="B64" s="32"/>
      <c r="K64" s="32"/>
      <c r="L64" s="32"/>
      <c r="M64" s="32"/>
    </row>
    <row r="65" ht="15.75" customHeight="1">
      <c r="B65" s="32"/>
      <c r="K65" s="32"/>
      <c r="L65" s="32"/>
      <c r="M65" s="32"/>
    </row>
    <row r="66" ht="15.75" customHeight="1">
      <c r="B66" s="32"/>
      <c r="K66" s="32"/>
      <c r="L66" s="32"/>
      <c r="M66" s="32"/>
    </row>
    <row r="67" ht="15.75" customHeight="1">
      <c r="B67" s="32"/>
      <c r="K67" s="32"/>
      <c r="L67" s="32"/>
      <c r="M67" s="32"/>
    </row>
    <row r="68" ht="15.75" customHeight="1">
      <c r="B68" s="32"/>
      <c r="K68" s="32"/>
      <c r="L68" s="32"/>
      <c r="M68" s="32"/>
    </row>
    <row r="69" ht="15.75" customHeight="1">
      <c r="B69" s="32"/>
      <c r="K69" s="32"/>
      <c r="L69" s="32"/>
      <c r="M69" s="32"/>
    </row>
    <row r="70" ht="15.75" customHeight="1">
      <c r="B70" s="32"/>
      <c r="K70" s="32"/>
      <c r="L70" s="32"/>
      <c r="M70" s="32"/>
    </row>
    <row r="71" ht="15.75" customHeight="1">
      <c r="B71" s="32"/>
      <c r="K71" s="32"/>
      <c r="L71" s="32"/>
      <c r="M71" s="32"/>
    </row>
    <row r="72" ht="15.75" customHeight="1">
      <c r="B72" s="32"/>
      <c r="K72" s="32"/>
      <c r="L72" s="32"/>
      <c r="M72" s="32"/>
    </row>
    <row r="73" ht="15.75" customHeight="1">
      <c r="B73" s="32"/>
      <c r="K73" s="32"/>
      <c r="L73" s="32"/>
      <c r="M73" s="32"/>
    </row>
    <row r="74" ht="15.75" customHeight="1">
      <c r="B74" s="32"/>
      <c r="K74" s="32"/>
      <c r="L74" s="32"/>
      <c r="M74" s="32"/>
    </row>
    <row r="75" ht="15.75" customHeight="1">
      <c r="B75" s="32"/>
      <c r="K75" s="32"/>
      <c r="L75" s="32"/>
      <c r="M75" s="32"/>
    </row>
    <row r="76" ht="15.75" customHeight="1">
      <c r="B76" s="32"/>
      <c r="K76" s="32"/>
      <c r="L76" s="32"/>
      <c r="M76" s="32"/>
    </row>
    <row r="77" ht="15.75" customHeight="1">
      <c r="B77" s="32"/>
      <c r="K77" s="32"/>
      <c r="L77" s="32"/>
      <c r="M77" s="32"/>
    </row>
    <row r="78" ht="15.75" customHeight="1">
      <c r="B78" s="32"/>
      <c r="K78" s="32"/>
      <c r="L78" s="32"/>
      <c r="M78" s="32"/>
    </row>
    <row r="79" ht="15.75" customHeight="1">
      <c r="B79" s="32"/>
      <c r="K79" s="32"/>
      <c r="L79" s="32"/>
      <c r="M79" s="32"/>
    </row>
    <row r="80" ht="15.75" customHeight="1">
      <c r="B80" s="32"/>
      <c r="K80" s="32"/>
      <c r="L80" s="32"/>
      <c r="M80" s="32"/>
    </row>
    <row r="81" ht="15.75" customHeight="1">
      <c r="B81" s="32"/>
      <c r="K81" s="32"/>
      <c r="L81" s="32"/>
      <c r="M81" s="32"/>
    </row>
    <row r="82" ht="15.75" customHeight="1">
      <c r="B82" s="32"/>
      <c r="K82" s="32"/>
      <c r="L82" s="32"/>
      <c r="M82" s="32"/>
    </row>
    <row r="83" ht="15.75" customHeight="1">
      <c r="B83" s="32"/>
      <c r="K83" s="32"/>
      <c r="L83" s="32"/>
      <c r="M83" s="32"/>
    </row>
    <row r="84" ht="15.75" customHeight="1">
      <c r="B84" s="32"/>
      <c r="K84" s="32"/>
      <c r="L84" s="32"/>
      <c r="M84" s="32"/>
    </row>
    <row r="85" ht="15.75" customHeight="1">
      <c r="B85" s="32"/>
      <c r="K85" s="32"/>
      <c r="L85" s="32"/>
      <c r="M85" s="32"/>
    </row>
    <row r="86" ht="15.75" customHeight="1">
      <c r="B86" s="32"/>
      <c r="K86" s="32"/>
      <c r="L86" s="32"/>
      <c r="M86" s="32"/>
    </row>
    <row r="87" ht="15.75" customHeight="1">
      <c r="B87" s="32"/>
      <c r="K87" s="32"/>
      <c r="L87" s="32"/>
      <c r="M87" s="32"/>
    </row>
    <row r="88" ht="15.75" customHeight="1">
      <c r="B88" s="32"/>
      <c r="K88" s="32"/>
      <c r="L88" s="32"/>
      <c r="M88" s="32"/>
    </row>
    <row r="89" ht="15.75" customHeight="1">
      <c r="B89" s="32"/>
      <c r="K89" s="32"/>
      <c r="L89" s="32"/>
      <c r="M89" s="32"/>
    </row>
    <row r="90" ht="15.75" customHeight="1">
      <c r="B90" s="32"/>
      <c r="K90" s="32"/>
      <c r="L90" s="32"/>
      <c r="M90" s="32"/>
    </row>
    <row r="91" ht="15.75" customHeight="1">
      <c r="B91" s="32"/>
      <c r="K91" s="32"/>
      <c r="L91" s="32"/>
      <c r="M91" s="32"/>
    </row>
    <row r="92" ht="15.75" customHeight="1">
      <c r="B92" s="32"/>
      <c r="K92" s="32"/>
      <c r="L92" s="32"/>
      <c r="M92" s="32"/>
    </row>
    <row r="93" ht="15.75" customHeight="1">
      <c r="B93" s="32"/>
      <c r="K93" s="32"/>
      <c r="L93" s="32"/>
      <c r="M93" s="32"/>
    </row>
    <row r="94" ht="15.75" customHeight="1">
      <c r="B94" s="32"/>
      <c r="K94" s="32"/>
      <c r="L94" s="32"/>
      <c r="M94" s="32"/>
    </row>
    <row r="95" ht="15.75" customHeight="1">
      <c r="B95" s="32"/>
      <c r="K95" s="32"/>
      <c r="L95" s="32"/>
      <c r="M95" s="32"/>
    </row>
    <row r="96" ht="15.75" customHeight="1">
      <c r="B96" s="32"/>
      <c r="K96" s="32"/>
      <c r="L96" s="32"/>
      <c r="M96" s="32"/>
    </row>
    <row r="97" ht="15.75" customHeight="1">
      <c r="B97" s="32"/>
      <c r="K97" s="32"/>
      <c r="L97" s="32"/>
      <c r="M97" s="32"/>
    </row>
    <row r="98" ht="15.75" customHeight="1">
      <c r="B98" s="32"/>
      <c r="K98" s="32"/>
      <c r="L98" s="32"/>
      <c r="M98" s="32"/>
    </row>
    <row r="99" ht="15.75" customHeight="1">
      <c r="B99" s="32"/>
      <c r="K99" s="32"/>
      <c r="L99" s="32"/>
      <c r="M99" s="32"/>
    </row>
    <row r="100" ht="15.75" customHeight="1">
      <c r="B100" s="32"/>
      <c r="K100" s="32"/>
      <c r="L100" s="32"/>
      <c r="M100" s="32"/>
    </row>
    <row r="101" ht="15.75" customHeight="1">
      <c r="B101" s="32"/>
      <c r="K101" s="32"/>
      <c r="L101" s="32"/>
      <c r="M101" s="32"/>
    </row>
    <row r="102" ht="15.75" customHeight="1">
      <c r="B102" s="32"/>
      <c r="K102" s="32"/>
      <c r="L102" s="32"/>
      <c r="M102" s="32"/>
    </row>
    <row r="103" ht="15.75" customHeight="1">
      <c r="B103" s="32"/>
      <c r="K103" s="32"/>
      <c r="L103" s="32"/>
      <c r="M103" s="32"/>
    </row>
    <row r="104" ht="15.75" customHeight="1">
      <c r="B104" s="32"/>
      <c r="K104" s="32"/>
      <c r="L104" s="32"/>
      <c r="M104" s="32"/>
    </row>
    <row r="105" ht="15.75" customHeight="1">
      <c r="B105" s="32"/>
      <c r="K105" s="32"/>
      <c r="L105" s="32"/>
      <c r="M105" s="32"/>
    </row>
    <row r="106" ht="15.75" customHeight="1">
      <c r="B106" s="32"/>
      <c r="K106" s="32"/>
      <c r="L106" s="32"/>
      <c r="M106" s="32"/>
    </row>
    <row r="107" ht="15.75" customHeight="1">
      <c r="B107" s="32"/>
      <c r="K107" s="32"/>
      <c r="L107" s="32"/>
      <c r="M107" s="32"/>
    </row>
    <row r="108" ht="15.75" customHeight="1">
      <c r="B108" s="32"/>
      <c r="K108" s="32"/>
      <c r="L108" s="32"/>
      <c r="M108" s="32"/>
    </row>
    <row r="109" ht="15.75" customHeight="1">
      <c r="B109" s="32"/>
      <c r="K109" s="32"/>
      <c r="L109" s="32"/>
      <c r="M109" s="32"/>
    </row>
    <row r="110" ht="15.75" customHeight="1">
      <c r="B110" s="32"/>
      <c r="K110" s="32"/>
      <c r="L110" s="32"/>
      <c r="M110" s="32"/>
    </row>
    <row r="111" ht="15.75" customHeight="1">
      <c r="B111" s="32"/>
      <c r="K111" s="32"/>
      <c r="L111" s="32"/>
      <c r="M111" s="32"/>
    </row>
    <row r="112" ht="15.75" customHeight="1">
      <c r="B112" s="32"/>
      <c r="K112" s="32"/>
      <c r="L112" s="32"/>
      <c r="M112" s="32"/>
    </row>
    <row r="113" ht="15.75" customHeight="1">
      <c r="B113" s="32"/>
      <c r="K113" s="32"/>
      <c r="L113" s="32"/>
      <c r="M113" s="32"/>
    </row>
    <row r="114" ht="15.75" customHeight="1">
      <c r="B114" s="32"/>
      <c r="K114" s="32"/>
      <c r="L114" s="32"/>
      <c r="M114" s="32"/>
    </row>
    <row r="115" ht="15.75" customHeight="1">
      <c r="B115" s="32"/>
      <c r="K115" s="32"/>
      <c r="L115" s="32"/>
      <c r="M115" s="32"/>
    </row>
    <row r="116" ht="15.75" customHeight="1">
      <c r="B116" s="32"/>
      <c r="K116" s="32"/>
      <c r="L116" s="32"/>
      <c r="M116" s="32"/>
    </row>
    <row r="117" ht="15.75" customHeight="1">
      <c r="B117" s="32"/>
      <c r="K117" s="32"/>
      <c r="L117" s="32"/>
      <c r="M117" s="32"/>
    </row>
    <row r="118" ht="15.75" customHeight="1">
      <c r="B118" s="32"/>
      <c r="K118" s="32"/>
      <c r="L118" s="32"/>
      <c r="M118" s="32"/>
    </row>
    <row r="119" ht="15.75" customHeight="1">
      <c r="B119" s="32"/>
      <c r="K119" s="32"/>
      <c r="L119" s="32"/>
      <c r="M119" s="32"/>
    </row>
    <row r="120" ht="15.75" customHeight="1">
      <c r="B120" s="32"/>
      <c r="K120" s="32"/>
      <c r="L120" s="32"/>
      <c r="M120" s="32"/>
    </row>
    <row r="121" ht="15.75" customHeight="1">
      <c r="B121" s="32"/>
      <c r="K121" s="32"/>
      <c r="L121" s="32"/>
      <c r="M121" s="32"/>
    </row>
    <row r="122" ht="15.75" customHeight="1">
      <c r="B122" s="32"/>
      <c r="K122" s="32"/>
      <c r="L122" s="32"/>
      <c r="M122" s="32"/>
    </row>
    <row r="123" ht="15.75" customHeight="1">
      <c r="B123" s="32"/>
      <c r="K123" s="32"/>
      <c r="L123" s="32"/>
      <c r="M123" s="32"/>
    </row>
    <row r="124" ht="15.75" customHeight="1">
      <c r="B124" s="32"/>
      <c r="K124" s="32"/>
      <c r="L124" s="32"/>
      <c r="M124" s="32"/>
    </row>
    <row r="125" ht="15.75" customHeight="1">
      <c r="B125" s="32"/>
      <c r="K125" s="32"/>
      <c r="L125" s="32"/>
      <c r="M125" s="32"/>
    </row>
    <row r="126" ht="15.75" customHeight="1">
      <c r="B126" s="32"/>
      <c r="K126" s="32"/>
      <c r="L126" s="32"/>
      <c r="M126" s="32"/>
    </row>
    <row r="127" ht="15.75" customHeight="1">
      <c r="B127" s="32"/>
      <c r="K127" s="32"/>
      <c r="L127" s="32"/>
      <c r="M127" s="32"/>
    </row>
    <row r="128" ht="15.75" customHeight="1">
      <c r="B128" s="32"/>
      <c r="K128" s="32"/>
      <c r="L128" s="32"/>
      <c r="M128" s="32"/>
    </row>
    <row r="129" ht="15.75" customHeight="1">
      <c r="B129" s="32"/>
      <c r="K129" s="32"/>
      <c r="L129" s="32"/>
      <c r="M129" s="32"/>
    </row>
    <row r="130" ht="15.75" customHeight="1">
      <c r="B130" s="32"/>
      <c r="K130" s="32"/>
      <c r="L130" s="32"/>
      <c r="M130" s="32"/>
    </row>
    <row r="131" ht="15.75" customHeight="1">
      <c r="B131" s="32"/>
      <c r="K131" s="32"/>
      <c r="L131" s="32"/>
      <c r="M131" s="32"/>
    </row>
    <row r="132" ht="15.75" customHeight="1">
      <c r="B132" s="32"/>
      <c r="K132" s="32"/>
      <c r="L132" s="32"/>
      <c r="M132" s="32"/>
    </row>
    <row r="133" ht="15.75" customHeight="1">
      <c r="B133" s="32"/>
      <c r="K133" s="32"/>
      <c r="L133" s="32"/>
      <c r="M133" s="32"/>
    </row>
    <row r="134" ht="15.75" customHeight="1">
      <c r="B134" s="32"/>
      <c r="K134" s="32"/>
      <c r="L134" s="32"/>
      <c r="M134" s="32"/>
    </row>
    <row r="135" ht="15.75" customHeight="1">
      <c r="B135" s="32"/>
      <c r="K135" s="32"/>
      <c r="L135" s="32"/>
      <c r="M135" s="32"/>
    </row>
    <row r="136" ht="15.75" customHeight="1">
      <c r="B136" s="32"/>
      <c r="K136" s="32"/>
      <c r="L136" s="32"/>
      <c r="M136" s="32"/>
    </row>
    <row r="137" ht="15.75" customHeight="1">
      <c r="B137" s="32"/>
      <c r="K137" s="32"/>
      <c r="L137" s="32"/>
      <c r="M137" s="32"/>
    </row>
    <row r="138" ht="15.75" customHeight="1">
      <c r="B138" s="32"/>
      <c r="K138" s="32"/>
      <c r="L138" s="32"/>
      <c r="M138" s="32"/>
    </row>
    <row r="139" ht="15.75" customHeight="1">
      <c r="B139" s="32"/>
      <c r="K139" s="32"/>
      <c r="L139" s="32"/>
      <c r="M139" s="32"/>
    </row>
    <row r="140" ht="15.75" customHeight="1">
      <c r="B140" s="32"/>
      <c r="K140" s="32"/>
      <c r="L140" s="32"/>
      <c r="M140" s="32"/>
    </row>
    <row r="141" ht="15.75" customHeight="1">
      <c r="B141" s="32"/>
      <c r="K141" s="32"/>
      <c r="L141" s="32"/>
      <c r="M141" s="32"/>
    </row>
    <row r="142" ht="15.75" customHeight="1">
      <c r="B142" s="32"/>
      <c r="K142" s="32"/>
      <c r="L142" s="32"/>
      <c r="M142" s="32"/>
    </row>
    <row r="143" ht="15.75" customHeight="1">
      <c r="B143" s="32"/>
      <c r="K143" s="32"/>
      <c r="L143" s="32"/>
      <c r="M143" s="32"/>
    </row>
    <row r="144" ht="15.75" customHeight="1">
      <c r="B144" s="32"/>
      <c r="K144" s="32"/>
      <c r="L144" s="32"/>
      <c r="M144" s="32"/>
    </row>
    <row r="145" ht="15.75" customHeight="1">
      <c r="B145" s="32"/>
      <c r="K145" s="32"/>
      <c r="L145" s="32"/>
      <c r="M145" s="32"/>
    </row>
    <row r="146" ht="15.75" customHeight="1">
      <c r="B146" s="32"/>
      <c r="K146" s="32"/>
      <c r="L146" s="32"/>
      <c r="M146" s="32"/>
    </row>
    <row r="147" ht="15.75" customHeight="1">
      <c r="B147" s="32"/>
      <c r="K147" s="32"/>
      <c r="L147" s="32"/>
      <c r="M147" s="32"/>
    </row>
    <row r="148" ht="15.75" customHeight="1">
      <c r="B148" s="32"/>
      <c r="K148" s="32"/>
      <c r="L148" s="32"/>
      <c r="M148" s="32"/>
    </row>
    <row r="149" ht="15.75" customHeight="1">
      <c r="B149" s="32"/>
      <c r="K149" s="32"/>
      <c r="L149" s="32"/>
      <c r="M149" s="32"/>
    </row>
    <row r="150" ht="15.75" customHeight="1">
      <c r="B150" s="32"/>
      <c r="K150" s="32"/>
      <c r="L150" s="32"/>
      <c r="M150" s="32"/>
    </row>
    <row r="151" ht="15.75" customHeight="1">
      <c r="B151" s="32"/>
      <c r="K151" s="32"/>
      <c r="L151" s="32"/>
      <c r="M151" s="32"/>
    </row>
    <row r="152" ht="15.75" customHeight="1">
      <c r="B152" s="32"/>
      <c r="K152" s="32"/>
      <c r="L152" s="32"/>
      <c r="M152" s="32"/>
    </row>
    <row r="153" ht="15.75" customHeight="1">
      <c r="B153" s="32"/>
      <c r="K153" s="32"/>
      <c r="L153" s="32"/>
      <c r="M153" s="32"/>
    </row>
    <row r="154" ht="15.75" customHeight="1">
      <c r="B154" s="32"/>
      <c r="K154" s="32"/>
      <c r="L154" s="32"/>
      <c r="M154" s="32"/>
    </row>
    <row r="155" ht="15.75" customHeight="1">
      <c r="B155" s="32"/>
      <c r="K155" s="32"/>
      <c r="L155" s="32"/>
      <c r="M155" s="32"/>
    </row>
    <row r="156" ht="15.75" customHeight="1">
      <c r="B156" s="32"/>
      <c r="K156" s="32"/>
      <c r="L156" s="32"/>
      <c r="M156" s="32"/>
    </row>
    <row r="157" ht="15.75" customHeight="1">
      <c r="B157" s="32"/>
      <c r="K157" s="32"/>
      <c r="L157" s="32"/>
      <c r="M157" s="32"/>
    </row>
    <row r="158" ht="15.75" customHeight="1">
      <c r="B158" s="32"/>
      <c r="K158" s="32"/>
      <c r="L158" s="32"/>
      <c r="M158" s="32"/>
    </row>
    <row r="159" ht="15.75" customHeight="1">
      <c r="B159" s="32"/>
      <c r="K159" s="32"/>
      <c r="L159" s="32"/>
      <c r="M159" s="32"/>
    </row>
    <row r="160" ht="15.75" customHeight="1">
      <c r="B160" s="32"/>
      <c r="K160" s="32"/>
      <c r="L160" s="32"/>
      <c r="M160" s="32"/>
    </row>
    <row r="161" ht="15.75" customHeight="1">
      <c r="B161" s="32"/>
      <c r="K161" s="32"/>
      <c r="L161" s="32"/>
      <c r="M161" s="32"/>
    </row>
    <row r="162" ht="15.75" customHeight="1">
      <c r="B162" s="32"/>
      <c r="K162" s="32"/>
      <c r="L162" s="32"/>
      <c r="M162" s="32"/>
    </row>
    <row r="163" ht="15.75" customHeight="1">
      <c r="B163" s="32"/>
      <c r="K163" s="32"/>
      <c r="L163" s="32"/>
      <c r="M163" s="32"/>
    </row>
    <row r="164" ht="15.75" customHeight="1">
      <c r="B164" s="32"/>
      <c r="K164" s="32"/>
      <c r="L164" s="32"/>
      <c r="M164" s="32"/>
    </row>
    <row r="165" ht="15.75" customHeight="1">
      <c r="B165" s="32"/>
      <c r="K165" s="32"/>
      <c r="L165" s="32"/>
      <c r="M165" s="32"/>
    </row>
    <row r="166" ht="15.75" customHeight="1">
      <c r="B166" s="32"/>
      <c r="K166" s="32"/>
      <c r="L166" s="32"/>
      <c r="M166" s="32"/>
    </row>
    <row r="167" ht="15.75" customHeight="1">
      <c r="B167" s="32"/>
      <c r="K167" s="32"/>
      <c r="L167" s="32"/>
      <c r="M167" s="32"/>
    </row>
    <row r="168" ht="15.75" customHeight="1">
      <c r="B168" s="32"/>
      <c r="K168" s="32"/>
      <c r="L168" s="32"/>
      <c r="M168" s="32"/>
    </row>
    <row r="169" ht="15.75" customHeight="1">
      <c r="B169" s="32"/>
      <c r="K169" s="32"/>
      <c r="L169" s="32"/>
      <c r="M169" s="32"/>
    </row>
    <row r="170" ht="15.75" customHeight="1">
      <c r="B170" s="32"/>
      <c r="K170" s="32"/>
      <c r="L170" s="32"/>
      <c r="M170" s="32"/>
    </row>
    <row r="171" ht="15.75" customHeight="1">
      <c r="B171" s="32"/>
      <c r="K171" s="32"/>
      <c r="L171" s="32"/>
      <c r="M171" s="32"/>
    </row>
    <row r="172" ht="15.75" customHeight="1">
      <c r="B172" s="32"/>
      <c r="K172" s="32"/>
      <c r="L172" s="32"/>
      <c r="M172" s="32"/>
    </row>
    <row r="173" ht="15.75" customHeight="1">
      <c r="B173" s="32"/>
      <c r="K173" s="32"/>
      <c r="L173" s="32"/>
      <c r="M173" s="32"/>
    </row>
    <row r="174" ht="15.75" customHeight="1">
      <c r="B174" s="32"/>
      <c r="K174" s="32"/>
      <c r="L174" s="32"/>
      <c r="M174" s="32"/>
    </row>
    <row r="175" ht="15.75" customHeight="1">
      <c r="B175" s="32"/>
      <c r="K175" s="32"/>
      <c r="L175" s="32"/>
      <c r="M175" s="32"/>
    </row>
    <row r="176" ht="15.75" customHeight="1">
      <c r="B176" s="32"/>
      <c r="K176" s="32"/>
      <c r="L176" s="32"/>
      <c r="M176" s="32"/>
    </row>
    <row r="177" ht="15.75" customHeight="1">
      <c r="B177" s="32"/>
      <c r="K177" s="32"/>
      <c r="L177" s="32"/>
      <c r="M177" s="32"/>
    </row>
    <row r="178" ht="15.75" customHeight="1">
      <c r="B178" s="32"/>
      <c r="K178" s="32"/>
      <c r="L178" s="32"/>
      <c r="M178" s="32"/>
    </row>
    <row r="179" ht="15.75" customHeight="1">
      <c r="B179" s="32"/>
      <c r="K179" s="32"/>
      <c r="L179" s="32"/>
      <c r="M179" s="32"/>
    </row>
    <row r="180" ht="15.75" customHeight="1">
      <c r="B180" s="32"/>
      <c r="K180" s="32"/>
      <c r="L180" s="32"/>
      <c r="M180" s="32"/>
    </row>
    <row r="181" ht="15.75" customHeight="1">
      <c r="B181" s="32"/>
      <c r="K181" s="32"/>
      <c r="L181" s="32"/>
      <c r="M181" s="32"/>
    </row>
    <row r="182" ht="15.75" customHeight="1">
      <c r="B182" s="32"/>
      <c r="K182" s="32"/>
      <c r="L182" s="32"/>
      <c r="M182" s="32"/>
    </row>
    <row r="183" ht="15.75" customHeight="1">
      <c r="B183" s="32"/>
      <c r="K183" s="32"/>
      <c r="L183" s="32"/>
      <c r="M183" s="32"/>
    </row>
    <row r="184" ht="15.75" customHeight="1">
      <c r="B184" s="32"/>
      <c r="K184" s="32"/>
      <c r="L184" s="32"/>
      <c r="M184" s="32"/>
    </row>
    <row r="185" ht="15.75" customHeight="1">
      <c r="B185" s="32"/>
      <c r="K185" s="32"/>
      <c r="L185" s="32"/>
      <c r="M185" s="32"/>
    </row>
    <row r="186" ht="15.75" customHeight="1">
      <c r="B186" s="32"/>
      <c r="K186" s="32"/>
      <c r="L186" s="32"/>
      <c r="M186" s="32"/>
    </row>
    <row r="187" ht="15.75" customHeight="1">
      <c r="B187" s="32"/>
      <c r="K187" s="32"/>
      <c r="L187" s="32"/>
      <c r="M187" s="32"/>
    </row>
    <row r="188" ht="15.75" customHeight="1">
      <c r="B188" s="32"/>
      <c r="K188" s="32"/>
      <c r="L188" s="32"/>
      <c r="M188" s="32"/>
    </row>
    <row r="189" ht="15.75" customHeight="1">
      <c r="B189" s="32"/>
      <c r="K189" s="32"/>
      <c r="L189" s="32"/>
      <c r="M189" s="32"/>
    </row>
    <row r="190" ht="15.75" customHeight="1">
      <c r="B190" s="32"/>
      <c r="K190" s="32"/>
      <c r="L190" s="32"/>
      <c r="M190" s="32"/>
    </row>
    <row r="191" ht="15.75" customHeight="1">
      <c r="B191" s="32"/>
      <c r="K191" s="32"/>
      <c r="L191" s="32"/>
      <c r="M191" s="32"/>
    </row>
    <row r="192" ht="15.75" customHeight="1">
      <c r="B192" s="32"/>
      <c r="K192" s="32"/>
      <c r="L192" s="32"/>
      <c r="M192" s="32"/>
    </row>
    <row r="193" ht="15.75" customHeight="1">
      <c r="B193" s="32"/>
      <c r="K193" s="32"/>
      <c r="L193" s="32"/>
      <c r="M193" s="32"/>
    </row>
    <row r="194" ht="15.75" customHeight="1">
      <c r="B194" s="32"/>
      <c r="K194" s="32"/>
      <c r="L194" s="32"/>
      <c r="M194" s="32"/>
    </row>
    <row r="195" ht="15.75" customHeight="1">
      <c r="B195" s="32"/>
      <c r="K195" s="32"/>
      <c r="L195" s="32"/>
      <c r="M195" s="32"/>
    </row>
    <row r="196" ht="15.75" customHeight="1">
      <c r="B196" s="32"/>
      <c r="K196" s="32"/>
      <c r="L196" s="32"/>
      <c r="M196" s="32"/>
    </row>
    <row r="197" ht="15.75" customHeight="1">
      <c r="B197" s="32"/>
      <c r="K197" s="32"/>
      <c r="L197" s="32"/>
      <c r="M197" s="32"/>
    </row>
    <row r="198" ht="15.75" customHeight="1">
      <c r="B198" s="32"/>
      <c r="K198" s="32"/>
      <c r="L198" s="32"/>
      <c r="M198" s="32"/>
    </row>
    <row r="199" ht="15.75" customHeight="1">
      <c r="B199" s="32"/>
      <c r="K199" s="32"/>
      <c r="L199" s="32"/>
      <c r="M199" s="32"/>
    </row>
    <row r="200" ht="15.75" customHeight="1">
      <c r="B200" s="32"/>
      <c r="K200" s="32"/>
      <c r="L200" s="32"/>
      <c r="M200" s="32"/>
    </row>
    <row r="201" ht="15.75" customHeight="1">
      <c r="B201" s="32"/>
      <c r="K201" s="32"/>
      <c r="L201" s="32"/>
      <c r="M201" s="32"/>
    </row>
    <row r="202" ht="15.75" customHeight="1">
      <c r="B202" s="32"/>
      <c r="K202" s="32"/>
      <c r="L202" s="32"/>
      <c r="M202" s="32"/>
    </row>
    <row r="203" ht="15.75" customHeight="1">
      <c r="B203" s="32"/>
      <c r="K203" s="32"/>
      <c r="L203" s="32"/>
      <c r="M203" s="32"/>
    </row>
    <row r="204" ht="15.75" customHeight="1">
      <c r="B204" s="32"/>
      <c r="K204" s="32"/>
      <c r="L204" s="32"/>
      <c r="M204" s="32"/>
    </row>
    <row r="205" ht="15.75" customHeight="1">
      <c r="B205" s="32"/>
      <c r="K205" s="32"/>
      <c r="L205" s="32"/>
      <c r="M205" s="32"/>
    </row>
    <row r="206" ht="15.75" customHeight="1">
      <c r="B206" s="32"/>
      <c r="K206" s="32"/>
      <c r="L206" s="32"/>
      <c r="M206" s="32"/>
    </row>
    <row r="207" ht="15.75" customHeight="1">
      <c r="B207" s="32"/>
      <c r="K207" s="32"/>
      <c r="L207" s="32"/>
      <c r="M207" s="32"/>
    </row>
    <row r="208" ht="15.75" customHeight="1">
      <c r="B208" s="32"/>
      <c r="K208" s="32"/>
      <c r="L208" s="32"/>
      <c r="M208" s="32"/>
    </row>
    <row r="209" ht="15.75" customHeight="1">
      <c r="B209" s="32"/>
      <c r="K209" s="32"/>
      <c r="L209" s="32"/>
      <c r="M209" s="32"/>
    </row>
    <row r="210" ht="15.75" customHeight="1">
      <c r="B210" s="32"/>
      <c r="K210" s="32"/>
      <c r="L210" s="32"/>
      <c r="M210" s="32"/>
    </row>
    <row r="211" ht="15.75" customHeight="1">
      <c r="B211" s="32"/>
      <c r="K211" s="32"/>
      <c r="L211" s="32"/>
      <c r="M211" s="32"/>
    </row>
    <row r="212" ht="15.75" customHeight="1">
      <c r="B212" s="32"/>
      <c r="K212" s="32"/>
      <c r="L212" s="32"/>
      <c r="M212" s="32"/>
    </row>
    <row r="213" ht="15.75" customHeight="1">
      <c r="B213" s="32"/>
      <c r="K213" s="32"/>
      <c r="L213" s="32"/>
      <c r="M213" s="32"/>
    </row>
    <row r="214" ht="15.75" customHeight="1">
      <c r="B214" s="32"/>
      <c r="K214" s="32"/>
      <c r="L214" s="32"/>
      <c r="M214" s="32"/>
    </row>
    <row r="215" ht="15.75" customHeight="1">
      <c r="B215" s="32"/>
      <c r="K215" s="32"/>
      <c r="L215" s="32"/>
      <c r="M215" s="32"/>
    </row>
    <row r="216" ht="15.75" customHeight="1">
      <c r="B216" s="32"/>
      <c r="K216" s="32"/>
      <c r="L216" s="32"/>
      <c r="M216" s="32"/>
    </row>
    <row r="217" ht="15.75" customHeight="1">
      <c r="B217" s="32"/>
      <c r="K217" s="32"/>
      <c r="L217" s="32"/>
      <c r="M217" s="32"/>
    </row>
    <row r="218" ht="15.75" customHeight="1">
      <c r="B218" s="32"/>
      <c r="K218" s="32"/>
      <c r="L218" s="32"/>
      <c r="M218" s="32"/>
    </row>
    <row r="219" ht="15.75" customHeight="1">
      <c r="B219" s="32"/>
      <c r="K219" s="32"/>
      <c r="L219" s="32"/>
      <c r="M219" s="32"/>
    </row>
    <row r="220" ht="15.75" customHeight="1">
      <c r="B220" s="32"/>
      <c r="K220" s="32"/>
      <c r="L220" s="32"/>
      <c r="M220" s="32"/>
    </row>
    <row r="221" ht="15.75" customHeight="1">
      <c r="B221" s="32"/>
      <c r="K221" s="32"/>
      <c r="L221" s="32"/>
      <c r="M221" s="32"/>
    </row>
    <row r="222" ht="15.75" customHeight="1">
      <c r="B222" s="32"/>
      <c r="K222" s="32"/>
      <c r="L222" s="32"/>
      <c r="M222" s="32"/>
    </row>
    <row r="223" ht="15.75" customHeight="1">
      <c r="B223" s="32"/>
      <c r="K223" s="32"/>
      <c r="L223" s="32"/>
      <c r="M223" s="32"/>
    </row>
    <row r="224" ht="15.75" customHeight="1">
      <c r="B224" s="32"/>
      <c r="K224" s="32"/>
      <c r="L224" s="32"/>
      <c r="M224" s="32"/>
    </row>
    <row r="225" ht="15.75" customHeight="1">
      <c r="B225" s="32"/>
      <c r="K225" s="32"/>
      <c r="L225" s="32"/>
      <c r="M225" s="32"/>
    </row>
    <row r="226" ht="15.75" customHeight="1">
      <c r="B226" s="32"/>
      <c r="K226" s="32"/>
      <c r="L226" s="32"/>
      <c r="M226" s="32"/>
    </row>
    <row r="227" ht="15.75" customHeight="1">
      <c r="B227" s="32"/>
      <c r="K227" s="32"/>
      <c r="L227" s="32"/>
      <c r="M227" s="32"/>
    </row>
    <row r="228" ht="15.75" customHeight="1">
      <c r="B228" s="32"/>
      <c r="K228" s="32"/>
      <c r="L228" s="32"/>
      <c r="M228" s="32"/>
    </row>
    <row r="229" ht="15.75" customHeight="1">
      <c r="B229" s="32"/>
      <c r="K229" s="32"/>
      <c r="L229" s="32"/>
      <c r="M229" s="32"/>
    </row>
    <row r="230" ht="15.75" customHeight="1">
      <c r="B230" s="32"/>
      <c r="K230" s="32"/>
      <c r="L230" s="32"/>
      <c r="M230" s="32"/>
    </row>
    <row r="231" ht="15.75" customHeight="1">
      <c r="B231" s="32"/>
      <c r="K231" s="32"/>
      <c r="L231" s="32"/>
      <c r="M231" s="32"/>
    </row>
    <row r="232" ht="15.75" customHeight="1">
      <c r="B232" s="32"/>
      <c r="K232" s="32"/>
      <c r="L232" s="32"/>
      <c r="M232" s="32"/>
    </row>
    <row r="233" ht="15.75" customHeight="1">
      <c r="B233" s="32"/>
      <c r="K233" s="32"/>
      <c r="L233" s="32"/>
      <c r="M233" s="32"/>
    </row>
    <row r="234" ht="15.75" customHeight="1">
      <c r="B234" s="32"/>
      <c r="K234" s="32"/>
      <c r="L234" s="32"/>
      <c r="M234" s="32"/>
    </row>
    <row r="235" ht="15.75" customHeight="1">
      <c r="B235" s="32"/>
      <c r="K235" s="32"/>
      <c r="L235" s="32"/>
      <c r="M235" s="32"/>
    </row>
    <row r="236" ht="15.75" customHeight="1">
      <c r="B236" s="32"/>
      <c r="K236" s="32"/>
      <c r="L236" s="32"/>
      <c r="M236" s="32"/>
    </row>
    <row r="237" ht="15.75" customHeight="1">
      <c r="B237" s="32"/>
      <c r="K237" s="32"/>
      <c r="L237" s="32"/>
      <c r="M237" s="32"/>
    </row>
    <row r="238" ht="15.75" customHeight="1">
      <c r="B238" s="32"/>
      <c r="K238" s="32"/>
      <c r="L238" s="32"/>
      <c r="M238" s="32"/>
    </row>
    <row r="239" ht="15.75" customHeight="1">
      <c r="B239" s="32"/>
      <c r="K239" s="32"/>
      <c r="L239" s="32"/>
      <c r="M239" s="32"/>
    </row>
    <row r="240" ht="15.75" customHeight="1">
      <c r="B240" s="32"/>
      <c r="K240" s="32"/>
      <c r="L240" s="32"/>
      <c r="M240" s="32"/>
    </row>
    <row r="241" ht="15.75" customHeight="1">
      <c r="B241" s="32"/>
      <c r="K241" s="32"/>
      <c r="L241" s="32"/>
      <c r="M241" s="32"/>
    </row>
    <row r="242" ht="15.75" customHeight="1">
      <c r="B242" s="32"/>
      <c r="K242" s="32"/>
      <c r="L242" s="32"/>
      <c r="M242" s="32"/>
    </row>
    <row r="243" ht="15.75" customHeight="1">
      <c r="B243" s="32"/>
      <c r="K243" s="32"/>
      <c r="L243" s="32"/>
      <c r="M243" s="32"/>
    </row>
    <row r="244" ht="15.75" customHeight="1">
      <c r="B244" s="32"/>
      <c r="K244" s="32"/>
      <c r="L244" s="32"/>
      <c r="M244" s="32"/>
    </row>
    <row r="245" ht="15.75" customHeight="1">
      <c r="B245" s="32"/>
      <c r="K245" s="32"/>
      <c r="L245" s="32"/>
      <c r="M245" s="32"/>
    </row>
    <row r="246" ht="15.75" customHeight="1">
      <c r="B246" s="32"/>
      <c r="K246" s="32"/>
      <c r="L246" s="32"/>
      <c r="M246" s="32"/>
    </row>
    <row r="247" ht="15.75" customHeight="1">
      <c r="B247" s="32"/>
      <c r="K247" s="32"/>
      <c r="L247" s="32"/>
      <c r="M247" s="32"/>
    </row>
    <row r="248" ht="15.75" customHeight="1">
      <c r="B248" s="32"/>
      <c r="K248" s="32"/>
      <c r="L248" s="32"/>
      <c r="M248" s="32"/>
    </row>
    <row r="249" ht="15.75" customHeight="1">
      <c r="B249" s="32"/>
      <c r="K249" s="32"/>
      <c r="L249" s="32"/>
      <c r="M249" s="32"/>
    </row>
    <row r="250" ht="15.75" customHeight="1">
      <c r="B250" s="32"/>
      <c r="K250" s="32"/>
      <c r="L250" s="32"/>
      <c r="M250" s="32"/>
    </row>
    <row r="251" ht="15.75" customHeight="1">
      <c r="B251" s="32"/>
      <c r="K251" s="32"/>
      <c r="L251" s="32"/>
      <c r="M251" s="32"/>
    </row>
    <row r="252" ht="15.75" customHeight="1">
      <c r="B252" s="32"/>
      <c r="K252" s="32"/>
      <c r="L252" s="32"/>
      <c r="M252" s="32"/>
    </row>
    <row r="253" ht="15.75" customHeight="1">
      <c r="B253" s="32"/>
      <c r="K253" s="32"/>
      <c r="L253" s="32"/>
      <c r="M253" s="32"/>
    </row>
    <row r="254" ht="15.75" customHeight="1">
      <c r="B254" s="32"/>
      <c r="K254" s="32"/>
      <c r="L254" s="32"/>
      <c r="M254" s="32"/>
    </row>
    <row r="255" ht="15.75" customHeight="1">
      <c r="B255" s="32"/>
      <c r="K255" s="32"/>
      <c r="L255" s="32"/>
      <c r="M255" s="32"/>
    </row>
    <row r="256" ht="15.75" customHeight="1">
      <c r="B256" s="32"/>
      <c r="K256" s="32"/>
      <c r="L256" s="32"/>
      <c r="M256" s="32"/>
    </row>
    <row r="257" ht="15.75" customHeight="1">
      <c r="B257" s="32"/>
      <c r="K257" s="32"/>
      <c r="L257" s="32"/>
      <c r="M257" s="32"/>
    </row>
    <row r="258" ht="15.75" customHeight="1">
      <c r="B258" s="32"/>
      <c r="K258" s="32"/>
      <c r="L258" s="32"/>
      <c r="M258" s="32"/>
    </row>
    <row r="259" ht="15.75" customHeight="1">
      <c r="B259" s="32"/>
      <c r="K259" s="32"/>
      <c r="L259" s="32"/>
      <c r="M259" s="32"/>
    </row>
    <row r="260" ht="15.75" customHeight="1">
      <c r="B260" s="32"/>
      <c r="K260" s="32"/>
      <c r="L260" s="32"/>
      <c r="M260" s="32"/>
    </row>
    <row r="261" ht="15.75" customHeight="1">
      <c r="B261" s="32"/>
      <c r="K261" s="32"/>
      <c r="L261" s="32"/>
      <c r="M261" s="32"/>
    </row>
    <row r="262" ht="15.75" customHeight="1">
      <c r="B262" s="32"/>
      <c r="K262" s="32"/>
      <c r="L262" s="32"/>
      <c r="M262" s="32"/>
    </row>
    <row r="263" ht="15.75" customHeight="1">
      <c r="B263" s="32"/>
      <c r="K263" s="32"/>
      <c r="L263" s="32"/>
      <c r="M263" s="32"/>
    </row>
    <row r="264" ht="15.75" customHeight="1">
      <c r="B264" s="32"/>
      <c r="K264" s="32"/>
      <c r="L264" s="32"/>
      <c r="M264" s="32"/>
    </row>
    <row r="265" ht="15.75" customHeight="1">
      <c r="B265" s="32"/>
      <c r="K265" s="32"/>
      <c r="L265" s="32"/>
      <c r="M265" s="32"/>
    </row>
    <row r="266" ht="15.75" customHeight="1">
      <c r="B266" s="32"/>
      <c r="K266" s="32"/>
      <c r="L266" s="32"/>
      <c r="M266" s="32"/>
    </row>
    <row r="267" ht="15.75" customHeight="1">
      <c r="B267" s="32"/>
      <c r="K267" s="32"/>
      <c r="L267" s="32"/>
      <c r="M267" s="32"/>
    </row>
    <row r="268" ht="15.75" customHeight="1">
      <c r="B268" s="32"/>
      <c r="K268" s="32"/>
      <c r="L268" s="32"/>
      <c r="M268" s="32"/>
    </row>
    <row r="269" ht="15.75" customHeight="1">
      <c r="B269" s="32"/>
      <c r="K269" s="32"/>
      <c r="L269" s="32"/>
      <c r="M269" s="32"/>
    </row>
    <row r="270" ht="15.75" customHeight="1">
      <c r="B270" s="32"/>
      <c r="K270" s="32"/>
      <c r="L270" s="32"/>
      <c r="M270" s="32"/>
    </row>
    <row r="271" ht="15.75" customHeight="1">
      <c r="B271" s="32"/>
      <c r="K271" s="32"/>
      <c r="L271" s="32"/>
      <c r="M271" s="32"/>
    </row>
    <row r="272" ht="15.75" customHeight="1">
      <c r="B272" s="32"/>
      <c r="K272" s="32"/>
      <c r="L272" s="32"/>
      <c r="M272" s="32"/>
    </row>
    <row r="273" ht="15.75" customHeight="1">
      <c r="B273" s="32"/>
      <c r="K273" s="32"/>
      <c r="L273" s="32"/>
      <c r="M273" s="32"/>
    </row>
    <row r="274" ht="15.75" customHeight="1">
      <c r="B274" s="32"/>
      <c r="K274" s="32"/>
      <c r="L274" s="32"/>
      <c r="M274" s="32"/>
    </row>
    <row r="275" ht="15.75" customHeight="1">
      <c r="B275" s="32"/>
      <c r="K275" s="32"/>
      <c r="L275" s="32"/>
      <c r="M275" s="32"/>
    </row>
    <row r="276" ht="15.75" customHeight="1">
      <c r="B276" s="32"/>
      <c r="K276" s="32"/>
      <c r="L276" s="32"/>
      <c r="M276" s="32"/>
    </row>
    <row r="277" ht="15.75" customHeight="1">
      <c r="B277" s="32"/>
      <c r="K277" s="32"/>
      <c r="L277" s="32"/>
      <c r="M277" s="32"/>
    </row>
    <row r="278" ht="15.75" customHeight="1">
      <c r="B278" s="32"/>
      <c r="K278" s="32"/>
      <c r="L278" s="32"/>
      <c r="M278" s="32"/>
    </row>
    <row r="279" ht="15.75" customHeight="1">
      <c r="B279" s="32"/>
      <c r="K279" s="32"/>
      <c r="L279" s="32"/>
      <c r="M279" s="32"/>
    </row>
    <row r="280" ht="15.75" customHeight="1">
      <c r="B280" s="32"/>
      <c r="K280" s="32"/>
      <c r="L280" s="32"/>
      <c r="M280" s="32"/>
    </row>
    <row r="281" ht="15.75" customHeight="1">
      <c r="B281" s="32"/>
      <c r="K281" s="32"/>
      <c r="L281" s="32"/>
      <c r="M281" s="32"/>
    </row>
    <row r="282" ht="15.75" customHeight="1">
      <c r="B282" s="32"/>
      <c r="K282" s="32"/>
      <c r="L282" s="32"/>
      <c r="M282" s="32"/>
    </row>
    <row r="283" ht="15.75" customHeight="1">
      <c r="B283" s="32"/>
      <c r="K283" s="32"/>
      <c r="L283" s="32"/>
      <c r="M283" s="32"/>
    </row>
    <row r="284" ht="15.75" customHeight="1">
      <c r="B284" s="32"/>
      <c r="K284" s="32"/>
      <c r="L284" s="32"/>
      <c r="M284" s="32"/>
    </row>
    <row r="285" ht="15.75" customHeight="1">
      <c r="B285" s="32"/>
      <c r="K285" s="32"/>
      <c r="L285" s="32"/>
      <c r="M285" s="32"/>
    </row>
    <row r="286" ht="15.75" customHeight="1">
      <c r="B286" s="32"/>
      <c r="K286" s="32"/>
      <c r="L286" s="32"/>
      <c r="M286" s="32"/>
    </row>
    <row r="287" ht="15.75" customHeight="1">
      <c r="B287" s="32"/>
      <c r="K287" s="32"/>
      <c r="L287" s="32"/>
      <c r="M287" s="32"/>
    </row>
    <row r="288" ht="15.75" customHeight="1">
      <c r="B288" s="32"/>
      <c r="K288" s="32"/>
      <c r="L288" s="32"/>
      <c r="M288" s="32"/>
    </row>
    <row r="289" ht="15.75" customHeight="1">
      <c r="B289" s="32"/>
      <c r="K289" s="32"/>
      <c r="L289" s="32"/>
      <c r="M289" s="32"/>
    </row>
    <row r="290" ht="15.75" customHeight="1">
      <c r="B290" s="32"/>
      <c r="K290" s="32"/>
      <c r="L290" s="32"/>
      <c r="M290" s="32"/>
    </row>
    <row r="291" ht="15.75" customHeight="1">
      <c r="B291" s="32"/>
      <c r="K291" s="32"/>
      <c r="L291" s="32"/>
      <c r="M291" s="32"/>
    </row>
    <row r="292" ht="15.75" customHeight="1">
      <c r="B292" s="32"/>
      <c r="K292" s="32"/>
      <c r="L292" s="32"/>
      <c r="M292" s="32"/>
    </row>
    <row r="293" ht="15.75" customHeight="1">
      <c r="B293" s="32"/>
      <c r="K293" s="32"/>
      <c r="L293" s="32"/>
      <c r="M293" s="32"/>
    </row>
    <row r="294" ht="15.75" customHeight="1">
      <c r="B294" s="32"/>
      <c r="K294" s="32"/>
      <c r="L294" s="32"/>
      <c r="M294" s="32"/>
    </row>
    <row r="295" ht="15.75" customHeight="1">
      <c r="B295" s="32"/>
      <c r="K295" s="32"/>
      <c r="L295" s="32"/>
      <c r="M295" s="32"/>
    </row>
    <row r="296" ht="15.75" customHeight="1">
      <c r="B296" s="32"/>
      <c r="K296" s="32"/>
      <c r="L296" s="32"/>
      <c r="M296" s="32"/>
    </row>
    <row r="297" ht="15.75" customHeight="1">
      <c r="B297" s="32"/>
      <c r="K297" s="32"/>
      <c r="L297" s="32"/>
      <c r="M297" s="32"/>
    </row>
    <row r="298" ht="15.75" customHeight="1">
      <c r="B298" s="32"/>
      <c r="K298" s="32"/>
      <c r="L298" s="32"/>
      <c r="M298" s="32"/>
    </row>
    <row r="299" ht="15.75" customHeight="1">
      <c r="B299" s="32"/>
      <c r="K299" s="32"/>
      <c r="L299" s="32"/>
      <c r="M299" s="32"/>
    </row>
    <row r="300" ht="15.75" customHeight="1">
      <c r="B300" s="32"/>
      <c r="K300" s="32"/>
      <c r="L300" s="32"/>
      <c r="M300" s="32"/>
    </row>
    <row r="301" ht="15.75" customHeight="1">
      <c r="B301" s="32"/>
      <c r="K301" s="32"/>
      <c r="L301" s="32"/>
      <c r="M301" s="32"/>
    </row>
    <row r="302" ht="15.75" customHeight="1">
      <c r="B302" s="32"/>
      <c r="K302" s="32"/>
      <c r="L302" s="32"/>
      <c r="M302" s="32"/>
    </row>
    <row r="303" ht="15.75" customHeight="1">
      <c r="B303" s="32"/>
      <c r="K303" s="32"/>
      <c r="L303" s="32"/>
      <c r="M303" s="32"/>
    </row>
    <row r="304" ht="15.75" customHeight="1">
      <c r="B304" s="32"/>
      <c r="K304" s="32"/>
      <c r="L304" s="32"/>
      <c r="M304" s="32"/>
    </row>
    <row r="305" ht="15.75" customHeight="1">
      <c r="B305" s="32"/>
      <c r="K305" s="32"/>
      <c r="L305" s="32"/>
      <c r="M305" s="32"/>
    </row>
    <row r="306" ht="15.75" customHeight="1">
      <c r="B306" s="32"/>
      <c r="K306" s="32"/>
      <c r="L306" s="32"/>
      <c r="M306" s="32"/>
    </row>
    <row r="307" ht="15.75" customHeight="1">
      <c r="B307" s="32"/>
      <c r="K307" s="32"/>
      <c r="L307" s="32"/>
      <c r="M307" s="32"/>
    </row>
    <row r="308" ht="15.75" customHeight="1">
      <c r="B308" s="32"/>
      <c r="K308" s="32"/>
      <c r="L308" s="32"/>
      <c r="M308" s="32"/>
    </row>
    <row r="309" ht="15.75" customHeight="1">
      <c r="B309" s="32"/>
      <c r="K309" s="32"/>
      <c r="L309" s="32"/>
      <c r="M309" s="32"/>
    </row>
    <row r="310" ht="15.75" customHeight="1">
      <c r="B310" s="32"/>
      <c r="K310" s="32"/>
      <c r="L310" s="32"/>
      <c r="M310" s="32"/>
    </row>
    <row r="311" ht="15.75" customHeight="1">
      <c r="B311" s="32"/>
      <c r="K311" s="32"/>
      <c r="L311" s="32"/>
      <c r="M311" s="32"/>
    </row>
    <row r="312" ht="15.75" customHeight="1">
      <c r="B312" s="32"/>
      <c r="K312" s="32"/>
      <c r="L312" s="32"/>
      <c r="M312" s="32"/>
    </row>
    <row r="313" ht="15.75" customHeight="1">
      <c r="B313" s="32"/>
      <c r="K313" s="32"/>
      <c r="L313" s="32"/>
      <c r="M313" s="32"/>
    </row>
    <row r="314" ht="15.75" customHeight="1">
      <c r="B314" s="32"/>
      <c r="K314" s="32"/>
      <c r="L314" s="32"/>
      <c r="M314" s="32"/>
    </row>
    <row r="315" ht="15.75" customHeight="1">
      <c r="B315" s="32"/>
      <c r="K315" s="32"/>
      <c r="L315" s="32"/>
      <c r="M315" s="32"/>
    </row>
    <row r="316" ht="15.75" customHeight="1">
      <c r="B316" s="32"/>
      <c r="K316" s="32"/>
      <c r="L316" s="32"/>
      <c r="M316" s="32"/>
    </row>
    <row r="317" ht="15.75" customHeight="1">
      <c r="B317" s="32"/>
      <c r="K317" s="32"/>
      <c r="L317" s="32"/>
      <c r="M317" s="32"/>
    </row>
    <row r="318" ht="15.75" customHeight="1">
      <c r="B318" s="32"/>
      <c r="K318" s="32"/>
      <c r="L318" s="32"/>
      <c r="M318" s="32"/>
    </row>
    <row r="319" ht="15.75" customHeight="1">
      <c r="B319" s="32"/>
      <c r="K319" s="32"/>
      <c r="L319" s="32"/>
      <c r="M319" s="32"/>
    </row>
    <row r="320" ht="15.75" customHeight="1">
      <c r="B320" s="32"/>
      <c r="K320" s="32"/>
      <c r="L320" s="32"/>
      <c r="M320" s="32"/>
    </row>
    <row r="321" ht="15.75" customHeight="1">
      <c r="B321" s="32"/>
      <c r="K321" s="32"/>
      <c r="L321" s="32"/>
      <c r="M321" s="32"/>
    </row>
    <row r="322" ht="15.75" customHeight="1">
      <c r="B322" s="32"/>
      <c r="K322" s="32"/>
      <c r="L322" s="32"/>
      <c r="M322" s="32"/>
    </row>
    <row r="323" ht="15.75" customHeight="1">
      <c r="B323" s="32"/>
      <c r="K323" s="32"/>
      <c r="L323" s="32"/>
      <c r="M323" s="32"/>
    </row>
    <row r="324" ht="15.75" customHeight="1">
      <c r="B324" s="32"/>
      <c r="K324" s="32"/>
      <c r="L324" s="32"/>
      <c r="M324" s="32"/>
    </row>
    <row r="325" ht="15.75" customHeight="1">
      <c r="B325" s="32"/>
      <c r="K325" s="32"/>
      <c r="L325" s="32"/>
      <c r="M325" s="32"/>
    </row>
    <row r="326" ht="15.75" customHeight="1">
      <c r="B326" s="32"/>
      <c r="K326" s="32"/>
      <c r="L326" s="32"/>
      <c r="M326" s="32"/>
    </row>
    <row r="327" ht="15.75" customHeight="1">
      <c r="B327" s="32"/>
      <c r="K327" s="32"/>
      <c r="L327" s="32"/>
      <c r="M327" s="32"/>
    </row>
    <row r="328" ht="15.75" customHeight="1">
      <c r="B328" s="32"/>
      <c r="K328" s="32"/>
      <c r="L328" s="32"/>
      <c r="M328" s="32"/>
    </row>
    <row r="329" ht="15.75" customHeight="1">
      <c r="B329" s="32"/>
      <c r="K329" s="32"/>
      <c r="L329" s="32"/>
      <c r="M329" s="32"/>
    </row>
    <row r="330" ht="15.75" customHeight="1">
      <c r="B330" s="32"/>
      <c r="K330" s="32"/>
      <c r="L330" s="32"/>
      <c r="M330" s="32"/>
    </row>
    <row r="331" ht="15.75" customHeight="1">
      <c r="B331" s="32"/>
      <c r="K331" s="32"/>
      <c r="L331" s="32"/>
      <c r="M331" s="32"/>
    </row>
    <row r="332" ht="15.75" customHeight="1">
      <c r="B332" s="32"/>
      <c r="K332" s="32"/>
      <c r="L332" s="32"/>
      <c r="M332" s="32"/>
    </row>
    <row r="333" ht="15.75" customHeight="1">
      <c r="B333" s="32"/>
      <c r="K333" s="32"/>
      <c r="L333" s="32"/>
      <c r="M333" s="32"/>
    </row>
    <row r="334" ht="15.75" customHeight="1">
      <c r="B334" s="32"/>
      <c r="K334" s="32"/>
      <c r="L334" s="32"/>
      <c r="M334" s="32"/>
    </row>
    <row r="335" ht="15.75" customHeight="1">
      <c r="B335" s="32"/>
      <c r="K335" s="32"/>
      <c r="L335" s="32"/>
      <c r="M335" s="32"/>
    </row>
    <row r="336" ht="15.75" customHeight="1">
      <c r="B336" s="32"/>
      <c r="K336" s="32"/>
      <c r="L336" s="32"/>
      <c r="M336" s="32"/>
    </row>
    <row r="337" ht="15.75" customHeight="1">
      <c r="B337" s="32"/>
      <c r="K337" s="32"/>
      <c r="L337" s="32"/>
      <c r="M337" s="32"/>
    </row>
    <row r="338" ht="15.75" customHeight="1">
      <c r="B338" s="32"/>
      <c r="K338" s="32"/>
      <c r="L338" s="32"/>
      <c r="M338" s="32"/>
    </row>
    <row r="339" ht="15.75" customHeight="1">
      <c r="B339" s="32"/>
      <c r="K339" s="32"/>
      <c r="L339" s="32"/>
      <c r="M339" s="32"/>
    </row>
    <row r="340" ht="15.75" customHeight="1">
      <c r="B340" s="32"/>
      <c r="K340" s="32"/>
      <c r="L340" s="32"/>
      <c r="M340" s="32"/>
    </row>
    <row r="341" ht="15.75" customHeight="1">
      <c r="B341" s="32"/>
      <c r="K341" s="32"/>
      <c r="L341" s="32"/>
      <c r="M341" s="32"/>
    </row>
    <row r="342" ht="15.75" customHeight="1">
      <c r="B342" s="32"/>
      <c r="K342" s="32"/>
      <c r="L342" s="32"/>
      <c r="M342" s="32"/>
    </row>
    <row r="343" ht="15.75" customHeight="1">
      <c r="B343" s="32"/>
      <c r="K343" s="32"/>
      <c r="L343" s="32"/>
      <c r="M343" s="32"/>
    </row>
    <row r="344" ht="15.75" customHeight="1">
      <c r="B344" s="32"/>
      <c r="K344" s="32"/>
      <c r="L344" s="32"/>
      <c r="M344" s="32"/>
    </row>
    <row r="345" ht="15.75" customHeight="1">
      <c r="B345" s="32"/>
      <c r="K345" s="32"/>
      <c r="L345" s="32"/>
      <c r="M345" s="32"/>
    </row>
    <row r="346" ht="15.75" customHeight="1">
      <c r="B346" s="32"/>
      <c r="K346" s="32"/>
      <c r="L346" s="32"/>
      <c r="M346" s="32"/>
    </row>
    <row r="347" ht="15.75" customHeight="1">
      <c r="B347" s="32"/>
      <c r="K347" s="32"/>
      <c r="L347" s="32"/>
      <c r="M347" s="32"/>
    </row>
    <row r="348" ht="15.75" customHeight="1">
      <c r="B348" s="32"/>
      <c r="K348" s="32"/>
      <c r="L348" s="32"/>
      <c r="M348" s="32"/>
    </row>
    <row r="349" ht="15.75" customHeight="1">
      <c r="B349" s="32"/>
      <c r="K349" s="32"/>
      <c r="L349" s="32"/>
      <c r="M349" s="32"/>
    </row>
    <row r="350" ht="15.75" customHeight="1">
      <c r="B350" s="32"/>
      <c r="K350" s="32"/>
      <c r="L350" s="32"/>
      <c r="M350" s="32"/>
    </row>
    <row r="351" ht="15.75" customHeight="1">
      <c r="B351" s="32"/>
      <c r="K351" s="32"/>
      <c r="L351" s="32"/>
      <c r="M351" s="32"/>
    </row>
    <row r="352" ht="15.75" customHeight="1">
      <c r="B352" s="32"/>
      <c r="K352" s="32"/>
      <c r="L352" s="32"/>
      <c r="M352" s="32"/>
    </row>
    <row r="353" ht="15.75" customHeight="1">
      <c r="B353" s="32"/>
      <c r="K353" s="32"/>
      <c r="L353" s="32"/>
      <c r="M353" s="32"/>
    </row>
    <row r="354" ht="15.75" customHeight="1">
      <c r="B354" s="32"/>
      <c r="K354" s="32"/>
      <c r="L354" s="32"/>
      <c r="M354" s="32"/>
    </row>
    <row r="355" ht="15.75" customHeight="1">
      <c r="B355" s="32"/>
      <c r="K355" s="32"/>
      <c r="L355" s="32"/>
      <c r="M355" s="32"/>
    </row>
    <row r="356" ht="15.75" customHeight="1">
      <c r="B356" s="32"/>
      <c r="K356" s="32"/>
      <c r="L356" s="32"/>
      <c r="M356" s="32"/>
    </row>
    <row r="357" ht="15.75" customHeight="1">
      <c r="B357" s="32"/>
      <c r="K357" s="32"/>
      <c r="L357" s="32"/>
      <c r="M357" s="32"/>
    </row>
    <row r="358" ht="15.75" customHeight="1">
      <c r="B358" s="32"/>
      <c r="K358" s="32"/>
      <c r="L358" s="32"/>
      <c r="M358" s="32"/>
    </row>
    <row r="359" ht="15.75" customHeight="1">
      <c r="B359" s="32"/>
      <c r="K359" s="32"/>
      <c r="L359" s="32"/>
      <c r="M359" s="32"/>
    </row>
    <row r="360" ht="15.75" customHeight="1">
      <c r="B360" s="32"/>
      <c r="K360" s="32"/>
      <c r="L360" s="32"/>
      <c r="M360" s="32"/>
    </row>
    <row r="361" ht="15.75" customHeight="1">
      <c r="B361" s="32"/>
      <c r="K361" s="32"/>
      <c r="L361" s="32"/>
      <c r="M361" s="32"/>
    </row>
    <row r="362" ht="15.75" customHeight="1">
      <c r="B362" s="32"/>
      <c r="K362" s="32"/>
      <c r="L362" s="32"/>
      <c r="M362" s="32"/>
    </row>
    <row r="363" ht="15.75" customHeight="1">
      <c r="B363" s="32"/>
      <c r="K363" s="32"/>
      <c r="L363" s="32"/>
      <c r="M363" s="32"/>
    </row>
    <row r="364" ht="15.75" customHeight="1">
      <c r="B364" s="32"/>
      <c r="K364" s="32"/>
      <c r="L364" s="32"/>
      <c r="M364" s="32"/>
    </row>
    <row r="365" ht="15.75" customHeight="1">
      <c r="B365" s="32"/>
      <c r="K365" s="32"/>
      <c r="L365" s="32"/>
      <c r="M365" s="32"/>
    </row>
    <row r="366" ht="15.75" customHeight="1">
      <c r="B366" s="32"/>
      <c r="K366" s="32"/>
      <c r="L366" s="32"/>
      <c r="M366" s="32"/>
    </row>
    <row r="367" ht="15.75" customHeight="1">
      <c r="B367" s="32"/>
      <c r="K367" s="32"/>
      <c r="L367" s="32"/>
      <c r="M367" s="32"/>
    </row>
    <row r="368" ht="15.75" customHeight="1">
      <c r="B368" s="32"/>
      <c r="K368" s="32"/>
      <c r="L368" s="32"/>
      <c r="M368" s="32"/>
    </row>
    <row r="369" ht="15.75" customHeight="1">
      <c r="B369" s="32"/>
      <c r="K369" s="32"/>
      <c r="L369" s="32"/>
      <c r="M369" s="32"/>
    </row>
    <row r="370" ht="15.75" customHeight="1">
      <c r="B370" s="32"/>
      <c r="K370" s="32"/>
      <c r="L370" s="32"/>
      <c r="M370" s="32"/>
    </row>
    <row r="371" ht="15.75" customHeight="1">
      <c r="B371" s="32"/>
      <c r="K371" s="32"/>
      <c r="L371" s="32"/>
      <c r="M371" s="32"/>
    </row>
    <row r="372" ht="15.75" customHeight="1">
      <c r="B372" s="32"/>
      <c r="K372" s="32"/>
      <c r="L372" s="32"/>
      <c r="M372" s="32"/>
    </row>
    <row r="373" ht="15.75" customHeight="1">
      <c r="B373" s="32"/>
      <c r="K373" s="32"/>
      <c r="L373" s="32"/>
      <c r="M373" s="32"/>
    </row>
    <row r="374" ht="15.75" customHeight="1">
      <c r="B374" s="32"/>
      <c r="K374" s="32"/>
      <c r="L374" s="32"/>
      <c r="M374" s="32"/>
    </row>
    <row r="375" ht="15.75" customHeight="1">
      <c r="B375" s="32"/>
      <c r="K375" s="32"/>
      <c r="L375" s="32"/>
      <c r="M375" s="32"/>
    </row>
    <row r="376" ht="15.75" customHeight="1">
      <c r="B376" s="32"/>
      <c r="K376" s="32"/>
      <c r="L376" s="32"/>
      <c r="M376" s="32"/>
    </row>
    <row r="377" ht="15.75" customHeight="1">
      <c r="B377" s="32"/>
      <c r="K377" s="32"/>
      <c r="L377" s="32"/>
      <c r="M377" s="32"/>
    </row>
    <row r="378" ht="15.75" customHeight="1">
      <c r="B378" s="32"/>
      <c r="K378" s="32"/>
      <c r="L378" s="32"/>
      <c r="M378" s="32"/>
    </row>
    <row r="379" ht="15.75" customHeight="1">
      <c r="B379" s="32"/>
      <c r="K379" s="32"/>
      <c r="L379" s="32"/>
      <c r="M379" s="32"/>
    </row>
    <row r="380" ht="15.75" customHeight="1">
      <c r="B380" s="32"/>
      <c r="K380" s="32"/>
      <c r="L380" s="32"/>
      <c r="M380" s="32"/>
    </row>
    <row r="381" ht="15.75" customHeight="1">
      <c r="B381" s="32"/>
      <c r="K381" s="32"/>
      <c r="L381" s="32"/>
      <c r="M381" s="32"/>
    </row>
    <row r="382" ht="15.75" customHeight="1">
      <c r="B382" s="32"/>
      <c r="K382" s="32"/>
      <c r="L382" s="32"/>
      <c r="M382" s="32"/>
    </row>
    <row r="383" ht="15.75" customHeight="1">
      <c r="B383" s="32"/>
      <c r="K383" s="32"/>
      <c r="L383" s="32"/>
      <c r="M383" s="32"/>
    </row>
    <row r="384" ht="15.75" customHeight="1">
      <c r="B384" s="32"/>
      <c r="K384" s="32"/>
      <c r="L384" s="32"/>
      <c r="M384" s="32"/>
    </row>
    <row r="385" ht="15.75" customHeight="1">
      <c r="B385" s="32"/>
      <c r="K385" s="32"/>
      <c r="L385" s="32"/>
      <c r="M385" s="32"/>
    </row>
    <row r="386" ht="15.75" customHeight="1">
      <c r="B386" s="32"/>
      <c r="K386" s="32"/>
      <c r="L386" s="32"/>
      <c r="M386" s="32"/>
    </row>
    <row r="387" ht="15.75" customHeight="1">
      <c r="B387" s="32"/>
      <c r="K387" s="32"/>
      <c r="L387" s="32"/>
      <c r="M387" s="32"/>
    </row>
    <row r="388" ht="15.75" customHeight="1">
      <c r="B388" s="32"/>
      <c r="K388" s="32"/>
      <c r="L388" s="32"/>
      <c r="M388" s="32"/>
    </row>
    <row r="389" ht="15.75" customHeight="1">
      <c r="B389" s="32"/>
      <c r="K389" s="32"/>
      <c r="L389" s="32"/>
      <c r="M389" s="32"/>
    </row>
    <row r="390" ht="15.75" customHeight="1">
      <c r="B390" s="32"/>
      <c r="K390" s="32"/>
      <c r="L390" s="32"/>
      <c r="M390" s="32"/>
    </row>
    <row r="391" ht="15.75" customHeight="1">
      <c r="B391" s="32"/>
      <c r="K391" s="32"/>
      <c r="L391" s="32"/>
      <c r="M391" s="32"/>
    </row>
    <row r="392" ht="15.75" customHeight="1">
      <c r="B392" s="32"/>
      <c r="K392" s="32"/>
      <c r="L392" s="32"/>
      <c r="M392" s="32"/>
    </row>
    <row r="393" ht="15.75" customHeight="1">
      <c r="B393" s="32"/>
      <c r="K393" s="32"/>
      <c r="L393" s="32"/>
      <c r="M393" s="32"/>
    </row>
    <row r="394" ht="15.75" customHeight="1">
      <c r="B394" s="32"/>
      <c r="K394" s="32"/>
      <c r="L394" s="32"/>
      <c r="M394" s="32"/>
    </row>
    <row r="395" ht="15.75" customHeight="1">
      <c r="B395" s="32"/>
      <c r="K395" s="32"/>
      <c r="L395" s="32"/>
      <c r="M395" s="32"/>
    </row>
    <row r="396" ht="15.75" customHeight="1">
      <c r="B396" s="32"/>
      <c r="K396" s="32"/>
      <c r="L396" s="32"/>
      <c r="M396" s="32"/>
    </row>
    <row r="397" ht="15.75" customHeight="1">
      <c r="B397" s="32"/>
      <c r="K397" s="32"/>
      <c r="L397" s="32"/>
      <c r="M397" s="32"/>
    </row>
    <row r="398" ht="15.75" customHeight="1">
      <c r="B398" s="32"/>
      <c r="K398" s="32"/>
      <c r="L398" s="32"/>
      <c r="M398" s="32"/>
    </row>
    <row r="399" ht="15.75" customHeight="1">
      <c r="B399" s="32"/>
      <c r="K399" s="32"/>
      <c r="L399" s="32"/>
      <c r="M399" s="32"/>
    </row>
    <row r="400" ht="15.75" customHeight="1">
      <c r="B400" s="32"/>
      <c r="K400" s="32"/>
      <c r="L400" s="32"/>
      <c r="M400" s="32"/>
    </row>
    <row r="401" ht="15.75" customHeight="1">
      <c r="B401" s="32"/>
      <c r="K401" s="32"/>
      <c r="L401" s="32"/>
      <c r="M401" s="32"/>
    </row>
    <row r="402" ht="15.75" customHeight="1">
      <c r="B402" s="32"/>
      <c r="K402" s="32"/>
      <c r="L402" s="32"/>
      <c r="M402" s="32"/>
    </row>
    <row r="403" ht="15.75" customHeight="1">
      <c r="B403" s="32"/>
      <c r="K403" s="32"/>
      <c r="L403" s="32"/>
      <c r="M403" s="32"/>
    </row>
    <row r="404" ht="15.75" customHeight="1">
      <c r="B404" s="32"/>
      <c r="K404" s="32"/>
      <c r="L404" s="32"/>
      <c r="M404" s="32"/>
    </row>
    <row r="405" ht="15.75" customHeight="1">
      <c r="B405" s="32"/>
      <c r="K405" s="32"/>
      <c r="L405" s="32"/>
      <c r="M405" s="32"/>
    </row>
    <row r="406" ht="15.75" customHeight="1">
      <c r="B406" s="32"/>
      <c r="K406" s="32"/>
      <c r="L406" s="32"/>
      <c r="M406" s="32"/>
    </row>
    <row r="407" ht="15.75" customHeight="1">
      <c r="B407" s="32"/>
      <c r="K407" s="32"/>
      <c r="L407" s="32"/>
      <c r="M407" s="32"/>
    </row>
    <row r="408" ht="15.75" customHeight="1">
      <c r="B408" s="32"/>
      <c r="K408" s="32"/>
      <c r="L408" s="32"/>
      <c r="M408" s="32"/>
    </row>
    <row r="409" ht="15.75" customHeight="1">
      <c r="B409" s="32"/>
      <c r="K409" s="32"/>
      <c r="L409" s="32"/>
      <c r="M409" s="32"/>
    </row>
    <row r="410" ht="15.75" customHeight="1">
      <c r="B410" s="32"/>
      <c r="K410" s="32"/>
      <c r="L410" s="32"/>
      <c r="M410" s="32"/>
    </row>
    <row r="411" ht="15.75" customHeight="1">
      <c r="B411" s="32"/>
      <c r="K411" s="32"/>
      <c r="L411" s="32"/>
      <c r="M411" s="32"/>
    </row>
    <row r="412" ht="15.75" customHeight="1">
      <c r="B412" s="32"/>
      <c r="K412" s="32"/>
      <c r="L412" s="32"/>
      <c r="M412" s="32"/>
    </row>
    <row r="413" ht="15.75" customHeight="1">
      <c r="B413" s="32"/>
      <c r="K413" s="32"/>
      <c r="L413" s="32"/>
      <c r="M413" s="32"/>
    </row>
    <row r="414" ht="15.75" customHeight="1">
      <c r="B414" s="32"/>
      <c r="K414" s="32"/>
      <c r="L414" s="32"/>
      <c r="M414" s="32"/>
    </row>
    <row r="415" ht="15.75" customHeight="1">
      <c r="B415" s="32"/>
      <c r="K415" s="32"/>
      <c r="L415" s="32"/>
      <c r="M415" s="32"/>
    </row>
    <row r="416" ht="15.75" customHeight="1">
      <c r="B416" s="32"/>
      <c r="K416" s="32"/>
      <c r="L416" s="32"/>
      <c r="M416" s="32"/>
    </row>
    <row r="417" ht="15.75" customHeight="1">
      <c r="B417" s="32"/>
      <c r="K417" s="32"/>
      <c r="L417" s="32"/>
      <c r="M417" s="32"/>
    </row>
    <row r="418" ht="15.75" customHeight="1">
      <c r="B418" s="32"/>
      <c r="K418" s="32"/>
      <c r="L418" s="32"/>
      <c r="M418" s="32"/>
    </row>
    <row r="419" ht="15.75" customHeight="1">
      <c r="B419" s="32"/>
      <c r="K419" s="32"/>
      <c r="L419" s="32"/>
      <c r="M419" s="32"/>
    </row>
    <row r="420" ht="15.75" customHeight="1">
      <c r="B420" s="32"/>
      <c r="K420" s="32"/>
      <c r="L420" s="32"/>
      <c r="M420" s="32"/>
    </row>
    <row r="421" ht="15.75" customHeight="1">
      <c r="B421" s="32"/>
      <c r="K421" s="32"/>
      <c r="L421" s="32"/>
      <c r="M421" s="32"/>
    </row>
    <row r="422" ht="15.75" customHeight="1">
      <c r="B422" s="32"/>
      <c r="K422" s="32"/>
      <c r="L422" s="32"/>
      <c r="M422" s="32"/>
    </row>
    <row r="423" ht="15.75" customHeight="1">
      <c r="B423" s="32"/>
      <c r="K423" s="32"/>
      <c r="L423" s="32"/>
      <c r="M423" s="32"/>
    </row>
    <row r="424" ht="15.75" customHeight="1">
      <c r="B424" s="32"/>
      <c r="K424" s="32"/>
      <c r="L424" s="32"/>
      <c r="M424" s="32"/>
    </row>
    <row r="425" ht="15.75" customHeight="1">
      <c r="B425" s="32"/>
      <c r="K425" s="32"/>
      <c r="L425" s="32"/>
      <c r="M425" s="32"/>
    </row>
    <row r="426" ht="15.75" customHeight="1">
      <c r="B426" s="32"/>
      <c r="K426" s="32"/>
      <c r="L426" s="32"/>
      <c r="M426" s="32"/>
    </row>
    <row r="427" ht="15.75" customHeight="1">
      <c r="B427" s="32"/>
      <c r="K427" s="32"/>
      <c r="L427" s="32"/>
      <c r="M427" s="32"/>
    </row>
    <row r="428" ht="15.75" customHeight="1">
      <c r="B428" s="32"/>
      <c r="K428" s="32"/>
      <c r="L428" s="32"/>
      <c r="M428" s="32"/>
    </row>
    <row r="429" ht="15.75" customHeight="1">
      <c r="B429" s="32"/>
      <c r="K429" s="32"/>
      <c r="L429" s="32"/>
      <c r="M429" s="32"/>
    </row>
    <row r="430" ht="15.75" customHeight="1">
      <c r="B430" s="32"/>
      <c r="K430" s="32"/>
      <c r="L430" s="32"/>
      <c r="M430" s="32"/>
    </row>
    <row r="431" ht="15.75" customHeight="1">
      <c r="B431" s="32"/>
      <c r="K431" s="32"/>
      <c r="L431" s="32"/>
      <c r="M431" s="32"/>
    </row>
    <row r="432" ht="15.75" customHeight="1">
      <c r="B432" s="32"/>
      <c r="K432" s="32"/>
      <c r="L432" s="32"/>
      <c r="M432" s="32"/>
    </row>
    <row r="433" ht="15.75" customHeight="1">
      <c r="B433" s="32"/>
      <c r="K433" s="32"/>
      <c r="L433" s="32"/>
      <c r="M433" s="32"/>
    </row>
    <row r="434" ht="15.75" customHeight="1">
      <c r="B434" s="32"/>
      <c r="K434" s="32"/>
      <c r="L434" s="32"/>
      <c r="M434" s="32"/>
    </row>
    <row r="435" ht="15.75" customHeight="1">
      <c r="B435" s="32"/>
      <c r="K435" s="32"/>
      <c r="L435" s="32"/>
      <c r="M435" s="32"/>
    </row>
    <row r="436" ht="15.75" customHeight="1">
      <c r="B436" s="32"/>
      <c r="K436" s="32"/>
      <c r="L436" s="32"/>
      <c r="M436" s="32"/>
    </row>
    <row r="437" ht="15.75" customHeight="1">
      <c r="B437" s="32"/>
      <c r="K437" s="32"/>
      <c r="L437" s="32"/>
      <c r="M437" s="32"/>
    </row>
    <row r="438" ht="15.75" customHeight="1">
      <c r="B438" s="32"/>
      <c r="K438" s="32"/>
      <c r="L438" s="32"/>
      <c r="M438" s="32"/>
    </row>
    <row r="439" ht="15.75" customHeight="1">
      <c r="B439" s="32"/>
      <c r="K439" s="32"/>
      <c r="L439" s="32"/>
      <c r="M439" s="32"/>
    </row>
    <row r="440" ht="15.75" customHeight="1">
      <c r="B440" s="32"/>
      <c r="K440" s="32"/>
      <c r="L440" s="32"/>
      <c r="M440" s="32"/>
    </row>
    <row r="441" ht="15.75" customHeight="1">
      <c r="B441" s="32"/>
      <c r="K441" s="32"/>
      <c r="L441" s="32"/>
      <c r="M441" s="32"/>
    </row>
    <row r="442" ht="15.75" customHeight="1">
      <c r="B442" s="32"/>
      <c r="K442" s="32"/>
      <c r="L442" s="32"/>
      <c r="M442" s="32"/>
    </row>
    <row r="443" ht="15.75" customHeight="1">
      <c r="B443" s="32"/>
      <c r="K443" s="32"/>
      <c r="L443" s="32"/>
      <c r="M443" s="32"/>
    </row>
    <row r="444" ht="15.75" customHeight="1">
      <c r="B444" s="32"/>
      <c r="K444" s="32"/>
      <c r="L444" s="32"/>
      <c r="M444" s="32"/>
    </row>
    <row r="445" ht="15.75" customHeight="1">
      <c r="B445" s="32"/>
      <c r="K445" s="32"/>
      <c r="L445" s="32"/>
      <c r="M445" s="32"/>
    </row>
    <row r="446" ht="15.75" customHeight="1">
      <c r="B446" s="32"/>
      <c r="K446" s="32"/>
      <c r="L446" s="32"/>
      <c r="M446" s="32"/>
    </row>
    <row r="447" ht="15.75" customHeight="1">
      <c r="B447" s="32"/>
      <c r="K447" s="32"/>
      <c r="L447" s="32"/>
      <c r="M447" s="32"/>
    </row>
    <row r="448" ht="15.75" customHeight="1">
      <c r="B448" s="32"/>
      <c r="K448" s="32"/>
      <c r="L448" s="32"/>
      <c r="M448" s="32"/>
    </row>
    <row r="449" ht="15.75" customHeight="1">
      <c r="B449" s="32"/>
      <c r="K449" s="32"/>
      <c r="L449" s="32"/>
      <c r="M449" s="32"/>
    </row>
    <row r="450" ht="15.75" customHeight="1">
      <c r="B450" s="32"/>
      <c r="K450" s="32"/>
      <c r="L450" s="32"/>
      <c r="M450" s="32"/>
    </row>
    <row r="451" ht="15.75" customHeight="1">
      <c r="B451" s="32"/>
      <c r="K451" s="32"/>
      <c r="L451" s="32"/>
      <c r="M451" s="32"/>
    </row>
    <row r="452" ht="15.75" customHeight="1">
      <c r="B452" s="32"/>
      <c r="K452" s="32"/>
      <c r="L452" s="32"/>
      <c r="M452" s="32"/>
    </row>
    <row r="453" ht="15.75" customHeight="1">
      <c r="B453" s="32"/>
      <c r="K453" s="32"/>
      <c r="L453" s="32"/>
      <c r="M453" s="32"/>
    </row>
    <row r="454" ht="15.75" customHeight="1">
      <c r="B454" s="32"/>
      <c r="K454" s="32"/>
      <c r="L454" s="32"/>
      <c r="M454" s="32"/>
    </row>
    <row r="455" ht="15.75" customHeight="1">
      <c r="B455" s="32"/>
      <c r="K455" s="32"/>
      <c r="L455" s="32"/>
      <c r="M455" s="32"/>
    </row>
    <row r="456" ht="15.75" customHeight="1">
      <c r="B456" s="32"/>
      <c r="K456" s="32"/>
      <c r="L456" s="32"/>
      <c r="M456" s="32"/>
    </row>
    <row r="457" ht="15.75" customHeight="1">
      <c r="B457" s="32"/>
      <c r="K457" s="32"/>
      <c r="L457" s="32"/>
      <c r="M457" s="32"/>
    </row>
    <row r="458" ht="15.75" customHeight="1">
      <c r="B458" s="32"/>
      <c r="K458" s="32"/>
      <c r="L458" s="32"/>
      <c r="M458" s="32"/>
    </row>
    <row r="459" ht="15.75" customHeight="1">
      <c r="B459" s="32"/>
      <c r="K459" s="32"/>
      <c r="L459" s="32"/>
      <c r="M459" s="32"/>
    </row>
    <row r="460" ht="15.75" customHeight="1">
      <c r="B460" s="32"/>
      <c r="K460" s="32"/>
      <c r="L460" s="32"/>
      <c r="M460" s="32"/>
    </row>
    <row r="461" ht="15.75" customHeight="1">
      <c r="B461" s="32"/>
      <c r="K461" s="32"/>
      <c r="L461" s="32"/>
      <c r="M461" s="32"/>
    </row>
    <row r="462" ht="15.75" customHeight="1">
      <c r="B462" s="32"/>
      <c r="K462" s="32"/>
      <c r="L462" s="32"/>
      <c r="M462" s="32"/>
    </row>
    <row r="463" ht="15.75" customHeight="1">
      <c r="B463" s="32"/>
      <c r="K463" s="32"/>
      <c r="L463" s="32"/>
      <c r="M463" s="32"/>
    </row>
    <row r="464" ht="15.75" customHeight="1">
      <c r="B464" s="32"/>
      <c r="K464" s="32"/>
      <c r="L464" s="32"/>
      <c r="M464" s="32"/>
    </row>
    <row r="465" ht="15.75" customHeight="1">
      <c r="B465" s="32"/>
      <c r="K465" s="32"/>
      <c r="L465" s="32"/>
      <c r="M465" s="32"/>
    </row>
    <row r="466" ht="15.75" customHeight="1">
      <c r="B466" s="32"/>
      <c r="K466" s="32"/>
      <c r="L466" s="32"/>
      <c r="M466" s="32"/>
    </row>
    <row r="467" ht="15.75" customHeight="1">
      <c r="B467" s="32"/>
      <c r="K467" s="32"/>
      <c r="L467" s="32"/>
      <c r="M467" s="32"/>
    </row>
    <row r="468" ht="15.75" customHeight="1">
      <c r="B468" s="32"/>
      <c r="K468" s="32"/>
      <c r="L468" s="32"/>
      <c r="M468" s="32"/>
    </row>
    <row r="469" ht="15.75" customHeight="1">
      <c r="B469" s="32"/>
      <c r="K469" s="32"/>
      <c r="L469" s="32"/>
      <c r="M469" s="32"/>
    </row>
    <row r="470" ht="15.75" customHeight="1">
      <c r="B470" s="32"/>
      <c r="K470" s="32"/>
      <c r="L470" s="32"/>
      <c r="M470" s="32"/>
    </row>
    <row r="471" ht="15.75" customHeight="1">
      <c r="B471" s="32"/>
      <c r="K471" s="32"/>
      <c r="L471" s="32"/>
      <c r="M471" s="32"/>
    </row>
    <row r="472" ht="15.75" customHeight="1">
      <c r="B472" s="32"/>
      <c r="K472" s="32"/>
      <c r="L472" s="32"/>
      <c r="M472" s="32"/>
    </row>
    <row r="473" ht="15.75" customHeight="1">
      <c r="B473" s="32"/>
      <c r="K473" s="32"/>
      <c r="L473" s="32"/>
      <c r="M473" s="32"/>
    </row>
    <row r="474" ht="15.75" customHeight="1">
      <c r="B474" s="32"/>
      <c r="K474" s="32"/>
      <c r="L474" s="32"/>
      <c r="M474" s="32"/>
    </row>
    <row r="475" ht="15.75" customHeight="1">
      <c r="B475" s="32"/>
      <c r="K475" s="32"/>
      <c r="L475" s="32"/>
      <c r="M475" s="32"/>
    </row>
    <row r="476" ht="15.75" customHeight="1">
      <c r="B476" s="32"/>
      <c r="K476" s="32"/>
      <c r="L476" s="32"/>
      <c r="M476" s="32"/>
    </row>
    <row r="477" ht="15.75" customHeight="1">
      <c r="B477" s="32"/>
      <c r="K477" s="32"/>
      <c r="L477" s="32"/>
      <c r="M477" s="32"/>
    </row>
    <row r="478" ht="15.75" customHeight="1">
      <c r="B478" s="32"/>
      <c r="K478" s="32"/>
      <c r="L478" s="32"/>
      <c r="M478" s="32"/>
    </row>
    <row r="479" ht="15.75" customHeight="1">
      <c r="B479" s="32"/>
      <c r="K479" s="32"/>
      <c r="L479" s="32"/>
      <c r="M479" s="32"/>
    </row>
    <row r="480" ht="15.75" customHeight="1">
      <c r="B480" s="32"/>
      <c r="K480" s="32"/>
      <c r="L480" s="32"/>
      <c r="M480" s="32"/>
    </row>
    <row r="481" ht="15.75" customHeight="1">
      <c r="B481" s="32"/>
      <c r="K481" s="32"/>
      <c r="L481" s="32"/>
      <c r="M481" s="32"/>
    </row>
    <row r="482" ht="15.75" customHeight="1">
      <c r="B482" s="32"/>
      <c r="K482" s="32"/>
      <c r="L482" s="32"/>
      <c r="M482" s="32"/>
    </row>
    <row r="483" ht="15.75" customHeight="1">
      <c r="B483" s="32"/>
      <c r="K483" s="32"/>
      <c r="L483" s="32"/>
      <c r="M483" s="32"/>
    </row>
    <row r="484" ht="15.75" customHeight="1">
      <c r="B484" s="32"/>
      <c r="K484" s="32"/>
      <c r="L484" s="32"/>
      <c r="M484" s="32"/>
    </row>
    <row r="485" ht="15.75" customHeight="1">
      <c r="B485" s="32"/>
      <c r="K485" s="32"/>
      <c r="L485" s="32"/>
      <c r="M485" s="32"/>
    </row>
    <row r="486" ht="15.75" customHeight="1">
      <c r="B486" s="32"/>
      <c r="K486" s="32"/>
      <c r="L486" s="32"/>
      <c r="M486" s="32"/>
    </row>
    <row r="487" ht="15.75" customHeight="1">
      <c r="B487" s="32"/>
      <c r="K487" s="32"/>
      <c r="L487" s="32"/>
      <c r="M487" s="32"/>
    </row>
    <row r="488" ht="15.75" customHeight="1">
      <c r="B488" s="32"/>
      <c r="K488" s="32"/>
      <c r="L488" s="32"/>
      <c r="M488" s="32"/>
    </row>
    <row r="489" ht="15.75" customHeight="1">
      <c r="B489" s="32"/>
      <c r="K489" s="32"/>
      <c r="L489" s="32"/>
      <c r="M489" s="32"/>
    </row>
    <row r="490" ht="15.75" customHeight="1">
      <c r="B490" s="32"/>
      <c r="K490" s="32"/>
      <c r="L490" s="32"/>
      <c r="M490" s="32"/>
    </row>
    <row r="491" ht="15.75" customHeight="1">
      <c r="B491" s="32"/>
      <c r="K491" s="32"/>
      <c r="L491" s="32"/>
      <c r="M491" s="32"/>
    </row>
    <row r="492" ht="15.75" customHeight="1">
      <c r="B492" s="32"/>
      <c r="K492" s="32"/>
      <c r="L492" s="32"/>
      <c r="M492" s="32"/>
    </row>
    <row r="493" ht="15.75" customHeight="1">
      <c r="B493" s="32"/>
      <c r="K493" s="32"/>
      <c r="L493" s="32"/>
      <c r="M493" s="32"/>
    </row>
    <row r="494" ht="15.75" customHeight="1">
      <c r="B494" s="32"/>
      <c r="K494" s="32"/>
      <c r="L494" s="32"/>
      <c r="M494" s="32"/>
    </row>
    <row r="495" ht="15.75" customHeight="1">
      <c r="B495" s="32"/>
      <c r="K495" s="32"/>
      <c r="L495" s="32"/>
      <c r="M495" s="32"/>
    </row>
    <row r="496" ht="15.75" customHeight="1">
      <c r="B496" s="32"/>
      <c r="K496" s="32"/>
      <c r="L496" s="32"/>
      <c r="M496" s="32"/>
    </row>
    <row r="497" ht="15.75" customHeight="1">
      <c r="B497" s="32"/>
      <c r="K497" s="32"/>
      <c r="L497" s="32"/>
      <c r="M497" s="32"/>
    </row>
    <row r="498" ht="15.75" customHeight="1">
      <c r="B498" s="32"/>
      <c r="K498" s="32"/>
      <c r="L498" s="32"/>
      <c r="M498" s="32"/>
    </row>
    <row r="499" ht="15.75" customHeight="1">
      <c r="B499" s="32"/>
      <c r="K499" s="32"/>
      <c r="L499" s="32"/>
      <c r="M499" s="32"/>
    </row>
    <row r="500" ht="15.75" customHeight="1">
      <c r="B500" s="32"/>
      <c r="K500" s="32"/>
      <c r="L500" s="32"/>
      <c r="M500" s="32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M42">
    <cfRule type="expression" dxfId="5" priority="1">
      <formula>M2="Validé pour le dossier"</formula>
    </cfRule>
  </conditionalFormatting>
  <conditionalFormatting sqref="M2:M42">
    <cfRule type="expression" dxfId="6" priority="2">
      <formula>M2="Formulation à valider"</formula>
    </cfRule>
  </conditionalFormatting>
  <conditionalFormatting sqref="M2:M42">
    <cfRule type="expression" dxfId="7" priority="3">
      <formula>M2="Document source à détailler"</formula>
    </cfRule>
  </conditionalFormatting>
  <conditionalFormatting sqref="M2:M42">
    <cfRule type="expression" dxfId="8" priority="4">
      <formula>M2="À rapprocher du prototype"</formula>
    </cfRule>
  </conditionalFormatting>
  <dataValidations>
    <dataValidation type="list" allowBlank="1" sqref="L2:L500">
      <formula1>Referentiels!$C$2:$C$7</formula1>
    </dataValidation>
    <dataValidation type="list" allowBlank="1" sqref="M2:M500">
      <formula1>Referentiels!$A$2:$A$7</formula1>
    </dataValidation>
    <dataValidation type="list" allowBlank="1" sqref="K2:K500">
      <formula1>Referentiels!$B$2:$B$4</formula1>
    </dataValidation>
    <dataValidation type="list" allowBlank="1" sqref="B2:B500">
      <formula1>Referentiels!$D$2:$D$7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28.0"/>
    <col customWidth="1" min="5" max="26" width="8.63"/>
  </cols>
  <sheetData>
    <row r="1">
      <c r="A1" s="3" t="s">
        <v>2</v>
      </c>
      <c r="B1" s="3" t="s">
        <v>9</v>
      </c>
      <c r="C1" s="3" t="s">
        <v>10</v>
      </c>
      <c r="D1" s="3" t="s">
        <v>11</v>
      </c>
    </row>
    <row r="2">
      <c r="A2" s="5" t="s">
        <v>12</v>
      </c>
      <c r="B2" s="5" t="s">
        <v>22</v>
      </c>
      <c r="C2" s="5" t="s">
        <v>23</v>
      </c>
      <c r="D2" s="5" t="s">
        <v>25</v>
      </c>
    </row>
    <row r="3">
      <c r="A3" s="5" t="s">
        <v>20</v>
      </c>
      <c r="B3" s="5" t="s">
        <v>29</v>
      </c>
      <c r="C3" s="5" t="s">
        <v>31</v>
      </c>
      <c r="D3" s="5" t="s">
        <v>33</v>
      </c>
    </row>
    <row r="4">
      <c r="A4" s="5" t="s">
        <v>28</v>
      </c>
      <c r="B4" s="5" t="s">
        <v>38</v>
      </c>
      <c r="C4" s="5" t="s">
        <v>40</v>
      </c>
      <c r="D4" s="5" t="s">
        <v>42</v>
      </c>
    </row>
    <row r="5">
      <c r="A5" s="5" t="s">
        <v>37</v>
      </c>
      <c r="B5" s="5"/>
      <c r="C5" s="5" t="s">
        <v>47</v>
      </c>
      <c r="D5" s="5" t="s">
        <v>49</v>
      </c>
    </row>
    <row r="6">
      <c r="A6" s="5" t="s">
        <v>46</v>
      </c>
      <c r="B6" s="5"/>
      <c r="C6" s="5" t="s">
        <v>52</v>
      </c>
      <c r="D6" s="5" t="s">
        <v>55</v>
      </c>
    </row>
    <row r="7">
      <c r="A7" s="5" t="s">
        <v>54</v>
      </c>
      <c r="B7" s="5"/>
      <c r="C7" s="5" t="s">
        <v>58</v>
      </c>
      <c r="D7" s="5" t="s">
        <v>59</v>
      </c>
    </row>
    <row r="8">
      <c r="A8" s="5"/>
      <c r="B8" s="5"/>
      <c r="C8" s="5"/>
      <c r="D8" s="5"/>
    </row>
    <row r="9">
      <c r="A9" s="5"/>
      <c r="B9" s="5"/>
      <c r="C9" s="5"/>
      <c r="D9" s="5"/>
    </row>
    <row r="10">
      <c r="A10" s="5"/>
      <c r="B10" s="5"/>
      <c r="C10" s="5"/>
      <c r="D10" s="5"/>
    </row>
    <row r="11">
      <c r="A11" s="5"/>
      <c r="B11" s="5"/>
      <c r="C11" s="5"/>
      <c r="D11" s="5"/>
    </row>
    <row r="12">
      <c r="A12" s="5"/>
      <c r="B12" s="5"/>
      <c r="C12" s="5"/>
      <c r="D12" s="5"/>
    </row>
    <row r="13">
      <c r="A13" s="5"/>
      <c r="B13" s="5"/>
      <c r="C13" s="5"/>
      <c r="D13" s="5"/>
    </row>
    <row r="14">
      <c r="A14" s="5"/>
      <c r="B14" s="5"/>
      <c r="C14" s="5"/>
      <c r="D14" s="5"/>
    </row>
    <row r="15">
      <c r="A15" s="5"/>
      <c r="B15" s="5"/>
      <c r="C15" s="5"/>
      <c r="D15" s="5"/>
    </row>
    <row r="16">
      <c r="A16" s="5"/>
      <c r="B16" s="5"/>
      <c r="C16" s="5"/>
      <c r="D16" s="5"/>
    </row>
    <row r="17">
      <c r="A17" s="5"/>
      <c r="B17" s="5"/>
      <c r="C17" s="5"/>
      <c r="D17" s="5"/>
    </row>
    <row r="18">
      <c r="A18" s="5"/>
      <c r="B18" s="5"/>
      <c r="C18" s="5"/>
      <c r="D18" s="5"/>
    </row>
    <row r="19">
      <c r="A19" s="5"/>
      <c r="B19" s="5"/>
      <c r="C19" s="5"/>
      <c r="D19" s="5"/>
    </row>
    <row r="20">
      <c r="A20" s="5"/>
      <c r="B20" s="5"/>
      <c r="C20" s="5"/>
      <c r="D20" s="5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